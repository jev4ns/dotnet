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jev4ns/Downloads/"/>
    </mc:Choice>
  </mc:AlternateContent>
  <xr:revisionPtr revIDLastSave="0" documentId="11_603C508163BE4837F6DBF01783E88398C926A30B" xr6:coauthVersionLast="47" xr6:coauthVersionMax="47" xr10:uidLastSave="{00000000-0000-0000-0000-000000000000}"/>
  <bookViews>
    <workbookView xWindow="0" yWindow="660" windowWidth="24380" windowHeight="16420" tabRatio="500" xr2:uid="{00000000-000D-0000-FFFF-FFFF00000000}"/>
  </bookViews>
  <sheets>
    <sheet name="Data 2024" sheetId="1" r:id="rId1"/>
    <sheet name="Data 2023" sheetId="2" r:id="rId2"/>
    <sheet name="YoY Change" sheetId="3" r:id="rId3"/>
    <sheet name="Analysis" sheetId="4" r:id="rId4"/>
    <sheet name="Multi-Year Residuals" sheetId="5" r:id="rId5"/>
    <sheet name="State Comparison" sheetId="6" r:id="rId6"/>
    <sheet name="Sources &amp; Method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168" i="5" l="1"/>
  <c r="O167" i="5"/>
  <c r="O166" i="5"/>
  <c r="O165" i="5"/>
  <c r="O164" i="5"/>
  <c r="O163" i="5"/>
  <c r="O135" i="5"/>
  <c r="O134" i="5"/>
  <c r="O133" i="5"/>
  <c r="O132" i="5"/>
  <c r="O131" i="5"/>
  <c r="E25" i="5" s="1"/>
  <c r="O130" i="5"/>
  <c r="O102" i="5"/>
  <c r="O101" i="5"/>
  <c r="O100" i="5"/>
  <c r="O99" i="5"/>
  <c r="O98" i="5"/>
  <c r="D26" i="5" s="1"/>
  <c r="O97" i="5"/>
  <c r="O69" i="5"/>
  <c r="O68" i="5"/>
  <c r="O67" i="5"/>
  <c r="O66" i="5"/>
  <c r="O65" i="5"/>
  <c r="C26" i="5" s="1"/>
  <c r="O64" i="5"/>
  <c r="O36" i="5"/>
  <c r="O35" i="5"/>
  <c r="O34" i="5"/>
  <c r="O33" i="5"/>
  <c r="O32" i="5"/>
  <c r="B27" i="5" s="1"/>
  <c r="O31" i="5"/>
  <c r="F27" i="5"/>
  <c r="D27" i="5"/>
  <c r="C27" i="5"/>
  <c r="F26" i="5"/>
  <c r="E26" i="5"/>
  <c r="F25" i="5"/>
  <c r="C25" i="5"/>
  <c r="B25" i="5"/>
  <c r="F24" i="5"/>
  <c r="E24" i="5"/>
  <c r="D24" i="5"/>
  <c r="B24" i="5"/>
  <c r="F23" i="5"/>
  <c r="D23" i="5"/>
  <c r="C23" i="5"/>
  <c r="F22" i="5"/>
  <c r="E22" i="5"/>
  <c r="F21" i="5"/>
  <c r="C21" i="5"/>
  <c r="B21" i="5"/>
  <c r="F20" i="5"/>
  <c r="E20" i="5"/>
  <c r="D20" i="5"/>
  <c r="B20" i="5"/>
  <c r="F19" i="5"/>
  <c r="D19" i="5"/>
  <c r="C19" i="5"/>
  <c r="F18" i="5"/>
  <c r="E18" i="5"/>
  <c r="F17" i="5"/>
  <c r="C17" i="5"/>
  <c r="B17" i="5"/>
  <c r="F16" i="5"/>
  <c r="E16" i="5"/>
  <c r="D16" i="5"/>
  <c r="B16" i="5"/>
  <c r="F15" i="5"/>
  <c r="D15" i="5"/>
  <c r="C15" i="5"/>
  <c r="F14" i="5"/>
  <c r="E14" i="5"/>
  <c r="F13" i="5"/>
  <c r="C13" i="5"/>
  <c r="B13" i="5"/>
  <c r="F12" i="5"/>
  <c r="E12" i="5"/>
  <c r="D12" i="5"/>
  <c r="B12" i="5"/>
  <c r="F11" i="5"/>
  <c r="D11" i="5"/>
  <c r="C11" i="5"/>
  <c r="F10" i="5"/>
  <c r="E10" i="5"/>
  <c r="F9" i="5"/>
  <c r="C9" i="5"/>
  <c r="B9" i="5"/>
  <c r="F8" i="5"/>
  <c r="E8" i="5"/>
  <c r="D8" i="5"/>
  <c r="B8" i="5"/>
  <c r="F7" i="5"/>
  <c r="D7" i="5"/>
  <c r="C7" i="5"/>
  <c r="C152" i="4"/>
  <c r="B152" i="4"/>
  <c r="D152" i="4" s="1"/>
  <c r="A152" i="4"/>
  <c r="C151" i="4"/>
  <c r="A151" i="4"/>
  <c r="C150" i="4"/>
  <c r="A150" i="4"/>
  <c r="C149" i="4"/>
  <c r="A149" i="4"/>
  <c r="D148" i="4"/>
  <c r="C148" i="4"/>
  <c r="B148" i="4"/>
  <c r="A148" i="4"/>
  <c r="C147" i="4"/>
  <c r="A147" i="4"/>
  <c r="C146" i="4"/>
  <c r="A146" i="4"/>
  <c r="C145" i="4"/>
  <c r="A145" i="4"/>
  <c r="C144" i="4"/>
  <c r="B144" i="4"/>
  <c r="D144" i="4" s="1"/>
  <c r="A144" i="4"/>
  <c r="C143" i="4"/>
  <c r="A143" i="4"/>
  <c r="C142" i="4"/>
  <c r="A142" i="4"/>
  <c r="C141" i="4"/>
  <c r="B141" i="4"/>
  <c r="D141" i="4" s="1"/>
  <c r="A141" i="4"/>
  <c r="C140" i="4"/>
  <c r="A140" i="4"/>
  <c r="C139" i="4"/>
  <c r="A139" i="4"/>
  <c r="D138" i="4"/>
  <c r="C138" i="4"/>
  <c r="B138" i="4"/>
  <c r="A138" i="4"/>
  <c r="C137" i="4"/>
  <c r="B137" i="4"/>
  <c r="D137" i="4" s="1"/>
  <c r="A137" i="4"/>
  <c r="C136" i="4"/>
  <c r="B136" i="4"/>
  <c r="D136" i="4" s="1"/>
  <c r="A136" i="4"/>
  <c r="C135" i="4"/>
  <c r="A135" i="4"/>
  <c r="D134" i="4"/>
  <c r="C134" i="4"/>
  <c r="B134" i="4"/>
  <c r="A134" i="4"/>
  <c r="C133" i="4"/>
  <c r="A133" i="4"/>
  <c r="C132" i="4"/>
  <c r="A132" i="4"/>
  <c r="A127" i="4"/>
  <c r="B126" i="4"/>
  <c r="A126" i="4"/>
  <c r="B125" i="4"/>
  <c r="A125" i="4"/>
  <c r="A124" i="4"/>
  <c r="A123" i="4"/>
  <c r="A122" i="4"/>
  <c r="A121" i="4"/>
  <c r="A120" i="4"/>
  <c r="A119" i="4"/>
  <c r="A118" i="4"/>
  <c r="B117" i="4"/>
  <c r="A117" i="4"/>
  <c r="B116" i="4"/>
  <c r="A116" i="4"/>
  <c r="A115" i="4"/>
  <c r="A114" i="4"/>
  <c r="B113" i="4"/>
  <c r="A113" i="4"/>
  <c r="A112" i="4"/>
  <c r="A111" i="4"/>
  <c r="A110" i="4"/>
  <c r="B109" i="4"/>
  <c r="A109" i="4"/>
  <c r="A108" i="4"/>
  <c r="A107" i="4"/>
  <c r="F92" i="4"/>
  <c r="E92" i="4"/>
  <c r="D92" i="4"/>
  <c r="C92" i="4"/>
  <c r="B92" i="4"/>
  <c r="A92" i="4"/>
  <c r="F91" i="4"/>
  <c r="E91" i="4"/>
  <c r="D91" i="4"/>
  <c r="C91" i="4"/>
  <c r="B91" i="4"/>
  <c r="A91" i="4"/>
  <c r="F90" i="4"/>
  <c r="E90" i="4"/>
  <c r="D90" i="4"/>
  <c r="C90" i="4"/>
  <c r="A90" i="4"/>
  <c r="F89" i="4"/>
  <c r="E89" i="4"/>
  <c r="D89" i="4"/>
  <c r="C89" i="4"/>
  <c r="A89" i="4"/>
  <c r="F88" i="4"/>
  <c r="E88" i="4"/>
  <c r="D88" i="4"/>
  <c r="C88" i="4"/>
  <c r="B88" i="4"/>
  <c r="A88" i="4"/>
  <c r="F87" i="4"/>
  <c r="E87" i="4"/>
  <c r="D87" i="4"/>
  <c r="C87" i="4"/>
  <c r="A87" i="4"/>
  <c r="F86" i="4"/>
  <c r="E86" i="4"/>
  <c r="D86" i="4"/>
  <c r="C86" i="4"/>
  <c r="A86" i="4"/>
  <c r="F85" i="4"/>
  <c r="E85" i="4"/>
  <c r="D85" i="4"/>
  <c r="C85" i="4"/>
  <c r="A85" i="4"/>
  <c r="F84" i="4"/>
  <c r="E84" i="4"/>
  <c r="D84" i="4"/>
  <c r="C84" i="4"/>
  <c r="B84" i="4"/>
  <c r="A84" i="4"/>
  <c r="F83" i="4"/>
  <c r="E83" i="4"/>
  <c r="D83" i="4"/>
  <c r="C83" i="4"/>
  <c r="B83" i="4"/>
  <c r="A83" i="4"/>
  <c r="F82" i="4"/>
  <c r="E82" i="4"/>
  <c r="D82" i="4"/>
  <c r="C82" i="4"/>
  <c r="A82" i="4"/>
  <c r="F81" i="4"/>
  <c r="E81" i="4"/>
  <c r="D81" i="4"/>
  <c r="C81" i="4"/>
  <c r="B81" i="4"/>
  <c r="A81" i="4"/>
  <c r="F80" i="4"/>
  <c r="E80" i="4"/>
  <c r="D80" i="4"/>
  <c r="C80" i="4"/>
  <c r="A80" i="4"/>
  <c r="F79" i="4"/>
  <c r="E79" i="4"/>
  <c r="D79" i="4"/>
  <c r="C79" i="4"/>
  <c r="A79" i="4"/>
  <c r="F78" i="4"/>
  <c r="E78" i="4"/>
  <c r="D78" i="4"/>
  <c r="C78" i="4"/>
  <c r="B78" i="4"/>
  <c r="A78" i="4"/>
  <c r="F77" i="4"/>
  <c r="E77" i="4"/>
  <c r="D77" i="4"/>
  <c r="C77" i="4"/>
  <c r="A77" i="4"/>
  <c r="F76" i="4"/>
  <c r="E76" i="4"/>
  <c r="D76" i="4"/>
  <c r="C76" i="4"/>
  <c r="A76" i="4"/>
  <c r="F75" i="4"/>
  <c r="E75" i="4"/>
  <c r="D75" i="4"/>
  <c r="C75" i="4"/>
  <c r="A75" i="4"/>
  <c r="F74" i="4"/>
  <c r="E74" i="4"/>
  <c r="D74" i="4"/>
  <c r="C74" i="4"/>
  <c r="B74" i="4"/>
  <c r="A74" i="4"/>
  <c r="F73" i="4"/>
  <c r="E73" i="4"/>
  <c r="D73" i="4"/>
  <c r="C73" i="4"/>
  <c r="A73" i="4"/>
  <c r="F72" i="4"/>
  <c r="E72" i="4"/>
  <c r="D72" i="4"/>
  <c r="C72" i="4"/>
  <c r="A72" i="4"/>
  <c r="A63" i="4"/>
  <c r="B62" i="4"/>
  <c r="A62" i="4"/>
  <c r="A61" i="4"/>
  <c r="A60" i="4"/>
  <c r="B59" i="4"/>
  <c r="A59" i="4"/>
  <c r="A58" i="4"/>
  <c r="A57" i="4"/>
  <c r="B56" i="4"/>
  <c r="A56" i="4"/>
  <c r="B55" i="4"/>
  <c r="A55" i="4"/>
  <c r="B54" i="4"/>
  <c r="A54" i="4"/>
  <c r="A53" i="4"/>
  <c r="B52" i="4"/>
  <c r="A52" i="4"/>
  <c r="A51" i="4"/>
  <c r="A50" i="4"/>
  <c r="B49" i="4"/>
  <c r="A49" i="4"/>
  <c r="B48" i="4"/>
  <c r="A48" i="4"/>
  <c r="A47" i="4"/>
  <c r="A46" i="4"/>
  <c r="B45" i="4"/>
  <c r="A45" i="4"/>
  <c r="A44" i="4"/>
  <c r="A43" i="4"/>
  <c r="B36" i="4"/>
  <c r="D26" i="4"/>
  <c r="C26" i="4"/>
  <c r="B26" i="4"/>
  <c r="A26" i="4"/>
  <c r="D25" i="4"/>
  <c r="C25" i="4"/>
  <c r="B25" i="4"/>
  <c r="A25" i="4"/>
  <c r="D24" i="4"/>
  <c r="B24" i="4"/>
  <c r="A24" i="4"/>
  <c r="D23" i="4"/>
  <c r="B23" i="4"/>
  <c r="A23" i="4"/>
  <c r="D22" i="4"/>
  <c r="C22" i="4"/>
  <c r="B22" i="4"/>
  <c r="A22" i="4"/>
  <c r="D21" i="4"/>
  <c r="B21" i="4"/>
  <c r="A21" i="4"/>
  <c r="D20" i="4"/>
  <c r="C20" i="4"/>
  <c r="B20" i="4"/>
  <c r="A20" i="4"/>
  <c r="D19" i="4"/>
  <c r="B19" i="4"/>
  <c r="A19" i="4"/>
  <c r="D18" i="4"/>
  <c r="C18" i="4"/>
  <c r="B18" i="4"/>
  <c r="A18" i="4"/>
  <c r="D17" i="4"/>
  <c r="B17" i="4"/>
  <c r="A17" i="4"/>
  <c r="D16" i="4"/>
  <c r="C16" i="4"/>
  <c r="B16" i="4"/>
  <c r="A16" i="4"/>
  <c r="D15" i="4"/>
  <c r="C15" i="4"/>
  <c r="B15" i="4"/>
  <c r="A15" i="4"/>
  <c r="D14" i="4"/>
  <c r="C14" i="4"/>
  <c r="B14" i="4"/>
  <c r="A14" i="4"/>
  <c r="D13" i="4"/>
  <c r="B13" i="4"/>
  <c r="A13" i="4"/>
  <c r="D12" i="4"/>
  <c r="C12" i="4"/>
  <c r="B12" i="4"/>
  <c r="A12" i="4"/>
  <c r="D11" i="4"/>
  <c r="B11" i="4"/>
  <c r="A11" i="4"/>
  <c r="D10" i="4"/>
  <c r="B10" i="4"/>
  <c r="A10" i="4"/>
  <c r="D9" i="4"/>
  <c r="B9" i="4"/>
  <c r="A9" i="4"/>
  <c r="D8" i="4"/>
  <c r="C8" i="4"/>
  <c r="B8" i="4"/>
  <c r="A8" i="4"/>
  <c r="D7" i="4"/>
  <c r="B38" i="4" s="1"/>
  <c r="B7" i="4"/>
  <c r="A7" i="4"/>
  <c r="D6" i="4"/>
  <c r="B6" i="4"/>
  <c r="A6" i="4"/>
  <c r="K31" i="3"/>
  <c r="J31" i="3"/>
  <c r="I31" i="3"/>
  <c r="G31" i="3"/>
  <c r="F31" i="3"/>
  <c r="D31" i="3"/>
  <c r="C31" i="3"/>
  <c r="J30" i="3"/>
  <c r="I30" i="3"/>
  <c r="K30" i="3" s="1"/>
  <c r="G30" i="3"/>
  <c r="H30" i="3" s="1"/>
  <c r="D30" i="3"/>
  <c r="E30" i="3" s="1"/>
  <c r="C30" i="3"/>
  <c r="J29" i="3"/>
  <c r="K29" i="3" s="1"/>
  <c r="I29" i="3"/>
  <c r="E29" i="3"/>
  <c r="D29" i="3"/>
  <c r="C29" i="3"/>
  <c r="J28" i="3"/>
  <c r="I28" i="3"/>
  <c r="G28" i="3"/>
  <c r="F28" i="3"/>
  <c r="D28" i="3"/>
  <c r="C28" i="3"/>
  <c r="E28" i="3" s="1"/>
  <c r="J27" i="3"/>
  <c r="K27" i="3" s="1"/>
  <c r="I27" i="3"/>
  <c r="G27" i="3"/>
  <c r="H27" i="3" s="1"/>
  <c r="D27" i="3"/>
  <c r="E27" i="3" s="1"/>
  <c r="C27" i="3"/>
  <c r="J26" i="3"/>
  <c r="I26" i="3"/>
  <c r="K26" i="3" s="1"/>
  <c r="D26" i="3"/>
  <c r="C26" i="3"/>
  <c r="J25" i="3"/>
  <c r="I25" i="3"/>
  <c r="F25" i="3"/>
  <c r="D25" i="3"/>
  <c r="E25" i="3" s="1"/>
  <c r="C25" i="3"/>
  <c r="J24" i="3"/>
  <c r="K24" i="3" s="1"/>
  <c r="I24" i="3"/>
  <c r="F24" i="3"/>
  <c r="E24" i="3"/>
  <c r="D24" i="3"/>
  <c r="C24" i="3"/>
  <c r="K23" i="3"/>
  <c r="J23" i="3"/>
  <c r="I23" i="3"/>
  <c r="G23" i="3"/>
  <c r="H23" i="3" s="1"/>
  <c r="F23" i="3"/>
  <c r="D23" i="3"/>
  <c r="E23" i="3" s="1"/>
  <c r="C23" i="3"/>
  <c r="J22" i="3"/>
  <c r="I22" i="3"/>
  <c r="K22" i="3" s="1"/>
  <c r="G22" i="3"/>
  <c r="H22" i="3" s="1"/>
  <c r="D22" i="3"/>
  <c r="E22" i="3" s="1"/>
  <c r="C22" i="3"/>
  <c r="J21" i="3"/>
  <c r="K21" i="3" s="1"/>
  <c r="I21" i="3"/>
  <c r="F21" i="3"/>
  <c r="E21" i="3"/>
  <c r="D21" i="3"/>
  <c r="C21" i="3"/>
  <c r="J20" i="3"/>
  <c r="I20" i="3"/>
  <c r="G20" i="3"/>
  <c r="F20" i="3"/>
  <c r="D20" i="3"/>
  <c r="C20" i="3"/>
  <c r="E20" i="3" s="1"/>
  <c r="J19" i="3"/>
  <c r="K19" i="3" s="1"/>
  <c r="I19" i="3"/>
  <c r="G19" i="3"/>
  <c r="H19" i="3" s="1"/>
  <c r="D19" i="3"/>
  <c r="E19" i="3" s="1"/>
  <c r="C19" i="3"/>
  <c r="J18" i="3"/>
  <c r="I18" i="3"/>
  <c r="K18" i="3" s="1"/>
  <c r="D18" i="3"/>
  <c r="C18" i="3"/>
  <c r="J17" i="3"/>
  <c r="K17" i="3" s="1"/>
  <c r="I17" i="3"/>
  <c r="F17" i="3"/>
  <c r="D17" i="3"/>
  <c r="E17" i="3" s="1"/>
  <c r="C17" i="3"/>
  <c r="K16" i="3"/>
  <c r="J16" i="3"/>
  <c r="I16" i="3"/>
  <c r="F16" i="3"/>
  <c r="D16" i="3"/>
  <c r="C16" i="3"/>
  <c r="E16" i="3" s="1"/>
  <c r="K15" i="3"/>
  <c r="J15" i="3"/>
  <c r="I15" i="3"/>
  <c r="G15" i="3"/>
  <c r="H15" i="3" s="1"/>
  <c r="F15" i="3"/>
  <c r="D15" i="3"/>
  <c r="C15" i="3"/>
  <c r="J14" i="3"/>
  <c r="I14" i="3"/>
  <c r="K14" i="3" s="1"/>
  <c r="G14" i="3"/>
  <c r="H14" i="3" s="1"/>
  <c r="D14" i="3"/>
  <c r="E14" i="3" s="1"/>
  <c r="C14" i="3"/>
  <c r="J13" i="3"/>
  <c r="K13" i="3" s="1"/>
  <c r="I13" i="3"/>
  <c r="F13" i="3"/>
  <c r="E13" i="3"/>
  <c r="D13" i="3"/>
  <c r="C13" i="3"/>
  <c r="J12" i="3"/>
  <c r="K12" i="3" s="1"/>
  <c r="I12" i="3"/>
  <c r="G12" i="3"/>
  <c r="F12" i="3"/>
  <c r="D12" i="3"/>
  <c r="C12" i="3"/>
  <c r="E12" i="3" s="1"/>
  <c r="J11" i="3"/>
  <c r="K11" i="3" s="1"/>
  <c r="I11" i="3"/>
  <c r="G11" i="3"/>
  <c r="H11" i="3" s="1"/>
  <c r="D11" i="3"/>
  <c r="C11" i="3"/>
  <c r="K10" i="3"/>
  <c r="J10" i="3"/>
  <c r="I10" i="3"/>
  <c r="D10" i="3"/>
  <c r="C10" i="3"/>
  <c r="J9" i="3"/>
  <c r="I9" i="3"/>
  <c r="F9" i="3"/>
  <c r="D9" i="3"/>
  <c r="E9" i="3" s="1"/>
  <c r="C9" i="3"/>
  <c r="J8" i="3"/>
  <c r="K8" i="3" s="1"/>
  <c r="I8" i="3"/>
  <c r="F8" i="3"/>
  <c r="E8" i="3"/>
  <c r="D8" i="3"/>
  <c r="C8" i="3"/>
  <c r="K7" i="3"/>
  <c r="J7" i="3"/>
  <c r="I7" i="3"/>
  <c r="G7" i="3"/>
  <c r="F7" i="3"/>
  <c r="D7" i="3"/>
  <c r="E7" i="3" s="1"/>
  <c r="C7" i="3"/>
  <c r="J6" i="3"/>
  <c r="I6" i="3"/>
  <c r="K6" i="3" s="1"/>
  <c r="G6" i="3"/>
  <c r="H6" i="3" s="1"/>
  <c r="D6" i="3"/>
  <c r="E6" i="3" s="1"/>
  <c r="C6" i="3"/>
  <c r="J5" i="3"/>
  <c r="I5" i="3"/>
  <c r="E5" i="3"/>
  <c r="D5" i="3"/>
  <c r="C5" i="3"/>
  <c r="H31" i="2"/>
  <c r="H30" i="2"/>
  <c r="F30" i="3" s="1"/>
  <c r="H29" i="2"/>
  <c r="F29" i="3" s="1"/>
  <c r="H28" i="2"/>
  <c r="H27" i="2"/>
  <c r="F27" i="3" s="1"/>
  <c r="H26" i="2"/>
  <c r="F26" i="3" s="1"/>
  <c r="H25" i="2"/>
  <c r="H24" i="2"/>
  <c r="H23" i="2"/>
  <c r="H22" i="2"/>
  <c r="F22" i="3" s="1"/>
  <c r="H21" i="2"/>
  <c r="H20" i="2"/>
  <c r="H19" i="2"/>
  <c r="F19" i="3" s="1"/>
  <c r="H18" i="2"/>
  <c r="F18" i="3" s="1"/>
  <c r="H17" i="2"/>
  <c r="H16" i="2"/>
  <c r="H15" i="2"/>
  <c r="H14" i="2"/>
  <c r="F14" i="3" s="1"/>
  <c r="H13" i="2"/>
  <c r="H12" i="2"/>
  <c r="H11" i="2"/>
  <c r="F11" i="3" s="1"/>
  <c r="H10" i="2"/>
  <c r="F10" i="3" s="1"/>
  <c r="H9" i="2"/>
  <c r="H8" i="2"/>
  <c r="H7" i="2"/>
  <c r="H6" i="2"/>
  <c r="F6" i="3" s="1"/>
  <c r="H5" i="2"/>
  <c r="F5" i="3" s="1"/>
  <c r="H31" i="1"/>
  <c r="H30" i="1"/>
  <c r="H29" i="1"/>
  <c r="G29" i="3" s="1"/>
  <c r="H28" i="1"/>
  <c r="B63" i="4" s="1"/>
  <c r="H27" i="1"/>
  <c r="B151" i="4" s="1"/>
  <c r="D151" i="4" s="1"/>
  <c r="H26" i="1"/>
  <c r="G26" i="3" s="1"/>
  <c r="H26" i="3" s="1"/>
  <c r="H25" i="1"/>
  <c r="H24" i="1"/>
  <c r="H23" i="1"/>
  <c r="B123" i="4" s="1"/>
  <c r="H22" i="1"/>
  <c r="H21" i="1"/>
  <c r="H20" i="1"/>
  <c r="B145" i="4" s="1"/>
  <c r="D145" i="4" s="1"/>
  <c r="H19" i="1"/>
  <c r="B119" i="4" s="1"/>
  <c r="H18" i="1"/>
  <c r="C17" i="4" s="1"/>
  <c r="H17" i="1"/>
  <c r="G17" i="3" s="1"/>
  <c r="H17" i="3" s="1"/>
  <c r="H16" i="1"/>
  <c r="H15" i="1"/>
  <c r="H14" i="1"/>
  <c r="H13" i="1"/>
  <c r="B79" i="4" s="1"/>
  <c r="H12" i="1"/>
  <c r="H11" i="1"/>
  <c r="H10" i="1"/>
  <c r="B112" i="4" s="1"/>
  <c r="H9" i="1"/>
  <c r="C10" i="4" s="1"/>
  <c r="H8" i="1"/>
  <c r="B75" i="4" s="1"/>
  <c r="H7" i="1"/>
  <c r="H6" i="1"/>
  <c r="H5" i="1"/>
  <c r="J21" i="5" l="1"/>
  <c r="H29" i="3"/>
  <c r="E26" i="3"/>
  <c r="K28" i="3"/>
  <c r="H7" i="3"/>
  <c r="K9" i="3"/>
  <c r="E10" i="3"/>
  <c r="E15" i="3"/>
  <c r="H31" i="3"/>
  <c r="J12" i="5"/>
  <c r="B146" i="4"/>
  <c r="D146" i="4" s="1"/>
  <c r="B86" i="4"/>
  <c r="B57" i="4"/>
  <c r="B121" i="4"/>
  <c r="G21" i="3"/>
  <c r="H21" i="3" s="1"/>
  <c r="K27" i="5"/>
  <c r="J27" i="5"/>
  <c r="I27" i="5"/>
  <c r="G27" i="5"/>
  <c r="B44" i="4"/>
  <c r="B73" i="4"/>
  <c r="C7" i="4"/>
  <c r="B133" i="4"/>
  <c r="D133" i="4" s="1"/>
  <c r="E145" i="4" s="1"/>
  <c r="B80" i="4"/>
  <c r="B140" i="4"/>
  <c r="D140" i="4" s="1"/>
  <c r="B115" i="4"/>
  <c r="B51" i="4"/>
  <c r="B122" i="4"/>
  <c r="B58" i="4"/>
  <c r="C21" i="4"/>
  <c r="B147" i="4"/>
  <c r="D147" i="4" s="1"/>
  <c r="H20" i="3"/>
  <c r="B108" i="4"/>
  <c r="K9" i="5"/>
  <c r="I9" i="5"/>
  <c r="E11" i="3"/>
  <c r="H21" i="5"/>
  <c r="G21" i="5"/>
  <c r="K21" i="5"/>
  <c r="B72" i="4"/>
  <c r="B100" i="4" s="1"/>
  <c r="B132" i="4"/>
  <c r="D132" i="4" s="1"/>
  <c r="B107" i="4"/>
  <c r="B43" i="4"/>
  <c r="G5" i="3"/>
  <c r="H5" i="3" s="1"/>
  <c r="B114" i="4"/>
  <c r="B50" i="4"/>
  <c r="C13" i="4"/>
  <c r="B139" i="4"/>
  <c r="D139" i="4" s="1"/>
  <c r="G13" i="3"/>
  <c r="H13" i="3" s="1"/>
  <c r="B60" i="4"/>
  <c r="B89" i="4"/>
  <c r="C23" i="4"/>
  <c r="G24" i="3"/>
  <c r="H24" i="3" s="1"/>
  <c r="B149" i="4"/>
  <c r="D149" i="4" s="1"/>
  <c r="B124" i="4"/>
  <c r="G13" i="5"/>
  <c r="K13" i="5"/>
  <c r="H12" i="3"/>
  <c r="B46" i="4"/>
  <c r="C9" i="4"/>
  <c r="B135" i="4"/>
  <c r="D135" i="4" s="1"/>
  <c r="B110" i="4"/>
  <c r="G8" i="3"/>
  <c r="H8" i="3" s="1"/>
  <c r="B142" i="4"/>
  <c r="D142" i="4" s="1"/>
  <c r="B82" i="4"/>
  <c r="B53" i="4"/>
  <c r="G16" i="3"/>
  <c r="H16" i="3" s="1"/>
  <c r="B76" i="4"/>
  <c r="G9" i="3"/>
  <c r="H9" i="3" s="1"/>
  <c r="B47" i="4"/>
  <c r="B111" i="4"/>
  <c r="B150" i="4"/>
  <c r="D150" i="4" s="1"/>
  <c r="G25" i="3"/>
  <c r="H25" i="3" s="1"/>
  <c r="B90" i="4"/>
  <c r="B61" i="4"/>
  <c r="K5" i="3"/>
  <c r="E18" i="3"/>
  <c r="K20" i="3"/>
  <c r="K25" i="3"/>
  <c r="H28" i="3"/>
  <c r="E31" i="3"/>
  <c r="C6" i="4"/>
  <c r="B31" i="4" s="1"/>
  <c r="C24" i="4"/>
  <c r="B87" i="4"/>
  <c r="B127" i="4"/>
  <c r="E7" i="5"/>
  <c r="C8" i="5"/>
  <c r="I8" i="5" s="1"/>
  <c r="K8" i="5"/>
  <c r="E11" i="5"/>
  <c r="C12" i="5"/>
  <c r="G12" i="5" s="1"/>
  <c r="K12" i="5"/>
  <c r="E15" i="5"/>
  <c r="C16" i="5"/>
  <c r="J16" i="5" s="1"/>
  <c r="K16" i="5"/>
  <c r="E19" i="5"/>
  <c r="C20" i="5"/>
  <c r="J20" i="5" s="1"/>
  <c r="K20" i="5"/>
  <c r="E23" i="5"/>
  <c r="C24" i="5"/>
  <c r="J24" i="5" s="1"/>
  <c r="E27" i="5"/>
  <c r="H27" i="5" s="1"/>
  <c r="B118" i="4"/>
  <c r="D9" i="5"/>
  <c r="J9" i="5" s="1"/>
  <c r="B10" i="5"/>
  <c r="D13" i="5"/>
  <c r="J13" i="5" s="1"/>
  <c r="B14" i="5"/>
  <c r="D17" i="5"/>
  <c r="J17" i="5" s="1"/>
  <c r="B18" i="5"/>
  <c r="D21" i="5"/>
  <c r="I21" i="5" s="1"/>
  <c r="B22" i="5"/>
  <c r="D25" i="5"/>
  <c r="G25" i="5" s="1"/>
  <c r="B26" i="5"/>
  <c r="B30" i="4"/>
  <c r="B143" i="4"/>
  <c r="D143" i="4" s="1"/>
  <c r="E143" i="4" s="1"/>
  <c r="G8" i="5"/>
  <c r="E9" i="5"/>
  <c r="C10" i="5"/>
  <c r="E13" i="5"/>
  <c r="C14" i="5"/>
  <c r="G16" i="5"/>
  <c r="E17" i="5"/>
  <c r="C18" i="5"/>
  <c r="G20" i="5"/>
  <c r="E21" i="5"/>
  <c r="C22" i="5"/>
  <c r="G10" i="3"/>
  <c r="H10" i="3" s="1"/>
  <c r="G18" i="3"/>
  <c r="H18" i="3" s="1"/>
  <c r="C11" i="4"/>
  <c r="C19" i="4"/>
  <c r="B77" i="4"/>
  <c r="B99" i="4" s="1"/>
  <c r="B85" i="4"/>
  <c r="B120" i="4"/>
  <c r="B7" i="5"/>
  <c r="H8" i="5"/>
  <c r="D10" i="5"/>
  <c r="B11" i="5"/>
  <c r="H12" i="5"/>
  <c r="D14" i="5"/>
  <c r="B15" i="5"/>
  <c r="H16" i="5"/>
  <c r="D18" i="5"/>
  <c r="B19" i="5"/>
  <c r="H20" i="5"/>
  <c r="D22" i="5"/>
  <c r="B23" i="5"/>
  <c r="I16" i="5"/>
  <c r="I20" i="5"/>
  <c r="K17" i="5" l="1"/>
  <c r="K11" i="5"/>
  <c r="J11" i="5"/>
  <c r="I11" i="5"/>
  <c r="H11" i="5"/>
  <c r="G11" i="5"/>
  <c r="E147" i="4"/>
  <c r="E144" i="4"/>
  <c r="H24" i="5"/>
  <c r="K18" i="5"/>
  <c r="J18" i="5"/>
  <c r="I18" i="5"/>
  <c r="G18" i="5"/>
  <c r="H18" i="5"/>
  <c r="K24" i="5"/>
  <c r="E150" i="4"/>
  <c r="E142" i="4"/>
  <c r="I13" i="5"/>
  <c r="E149" i="4"/>
  <c r="H25" i="5"/>
  <c r="B95" i="4"/>
  <c r="E140" i="4"/>
  <c r="E146" i="4"/>
  <c r="I17" i="5"/>
  <c r="B98" i="4"/>
  <c r="E152" i="4"/>
  <c r="E141" i="4"/>
  <c r="G9" i="5"/>
  <c r="E136" i="4"/>
  <c r="H17" i="5"/>
  <c r="K14" i="5"/>
  <c r="J14" i="5"/>
  <c r="I14" i="5"/>
  <c r="G14" i="5"/>
  <c r="H14" i="5"/>
  <c r="E133" i="4"/>
  <c r="G17" i="5"/>
  <c r="I24" i="5"/>
  <c r="E135" i="4"/>
  <c r="K26" i="5"/>
  <c r="J26" i="5"/>
  <c r="I26" i="5"/>
  <c r="G26" i="5"/>
  <c r="H26" i="5"/>
  <c r="K10" i="5"/>
  <c r="J10" i="5"/>
  <c r="I10" i="5"/>
  <c r="G10" i="5"/>
  <c r="H10" i="5"/>
  <c r="E148" i="4"/>
  <c r="D60" i="4"/>
  <c r="H9" i="5"/>
  <c r="E151" i="4"/>
  <c r="J8" i="5"/>
  <c r="H13" i="5"/>
  <c r="K19" i="5"/>
  <c r="J19" i="5"/>
  <c r="I19" i="5"/>
  <c r="H19" i="5"/>
  <c r="G19" i="5"/>
  <c r="K7" i="5"/>
  <c r="J7" i="5"/>
  <c r="I7" i="5"/>
  <c r="H7" i="5"/>
  <c r="G7" i="5"/>
  <c r="G24" i="5"/>
  <c r="D46" i="4"/>
  <c r="E134" i="4"/>
  <c r="E138" i="4"/>
  <c r="E132" i="4"/>
  <c r="E137" i="4"/>
  <c r="I25" i="5"/>
  <c r="D44" i="4"/>
  <c r="J25" i="5"/>
  <c r="K23" i="5"/>
  <c r="J23" i="5"/>
  <c r="I23" i="5"/>
  <c r="H23" i="5"/>
  <c r="G23" i="5"/>
  <c r="I12" i="5"/>
  <c r="K22" i="5"/>
  <c r="J22" i="5"/>
  <c r="I22" i="5"/>
  <c r="G22" i="5"/>
  <c r="H22" i="5"/>
  <c r="C63" i="4"/>
  <c r="D63" i="4" s="1"/>
  <c r="C61" i="4"/>
  <c r="D61" i="4" s="1"/>
  <c r="C59" i="4"/>
  <c r="D59" i="4" s="1"/>
  <c r="C57" i="4"/>
  <c r="D57" i="4" s="1"/>
  <c r="C55" i="4"/>
  <c r="D55" i="4" s="1"/>
  <c r="C53" i="4"/>
  <c r="C51" i="4"/>
  <c r="D51" i="4" s="1"/>
  <c r="C49" i="4"/>
  <c r="D49" i="4" s="1"/>
  <c r="C47" i="4"/>
  <c r="D47" i="4" s="1"/>
  <c r="C45" i="4"/>
  <c r="D45" i="4" s="1"/>
  <c r="C43" i="4"/>
  <c r="D43" i="4" s="1"/>
  <c r="B29" i="4"/>
  <c r="B33" i="4" s="1"/>
  <c r="C62" i="4"/>
  <c r="D62" i="4" s="1"/>
  <c r="C60" i="4"/>
  <c r="C58" i="4"/>
  <c r="D58" i="4" s="1"/>
  <c r="C56" i="4"/>
  <c r="D56" i="4" s="1"/>
  <c r="C54" i="4"/>
  <c r="D54" i="4" s="1"/>
  <c r="C52" i="4"/>
  <c r="D52" i="4" s="1"/>
  <c r="C50" i="4"/>
  <c r="D50" i="4" s="1"/>
  <c r="C48" i="4"/>
  <c r="D48" i="4" s="1"/>
  <c r="C46" i="4"/>
  <c r="C44" i="4"/>
  <c r="B37" i="4"/>
  <c r="D53" i="4"/>
  <c r="E139" i="4"/>
  <c r="B101" i="4"/>
  <c r="B97" i="4"/>
  <c r="K25" i="5"/>
  <c r="K15" i="5"/>
  <c r="J15" i="5"/>
  <c r="I15" i="5"/>
  <c r="H15" i="5"/>
  <c r="G15" i="5"/>
  <c r="B96" i="4"/>
  <c r="C125" i="4" l="1"/>
  <c r="D125" i="4" s="1"/>
  <c r="C117" i="4"/>
  <c r="D117" i="4" s="1"/>
  <c r="C109" i="4"/>
  <c r="D109" i="4" s="1"/>
  <c r="C123" i="4"/>
  <c r="D123" i="4" s="1"/>
  <c r="C115" i="4"/>
  <c r="D115" i="4" s="1"/>
  <c r="C107" i="4"/>
  <c r="D107" i="4" s="1"/>
  <c r="C126" i="4"/>
  <c r="D126" i="4" s="1"/>
  <c r="C118" i="4"/>
  <c r="D118" i="4" s="1"/>
  <c r="C110" i="4"/>
  <c r="D110" i="4" s="1"/>
  <c r="C121" i="4"/>
  <c r="D121" i="4" s="1"/>
  <c r="C113" i="4"/>
  <c r="D113" i="4" s="1"/>
  <c r="C124" i="4"/>
  <c r="D124" i="4" s="1"/>
  <c r="C116" i="4"/>
  <c r="D116" i="4" s="1"/>
  <c r="C108" i="4"/>
  <c r="D108" i="4" s="1"/>
  <c r="C122" i="4"/>
  <c r="D122" i="4" s="1"/>
  <c r="C114" i="4"/>
  <c r="D114" i="4" s="1"/>
  <c r="C120" i="4"/>
  <c r="D120" i="4" s="1"/>
  <c r="C127" i="4"/>
  <c r="D127" i="4" s="1"/>
  <c r="C112" i="4"/>
  <c r="D112" i="4" s="1"/>
  <c r="E112" i="4" s="1"/>
  <c r="C119" i="4"/>
  <c r="D119" i="4" s="1"/>
  <c r="C111" i="4"/>
  <c r="D111" i="4" s="1"/>
  <c r="B33" i="5"/>
  <c r="B32" i="5"/>
  <c r="B31" i="5"/>
  <c r="E113" i="4" l="1"/>
  <c r="E127" i="4"/>
  <c r="E117" i="4"/>
  <c r="E110" i="4"/>
  <c r="E114" i="4"/>
  <c r="E118" i="4"/>
  <c r="E122" i="4"/>
  <c r="E126" i="4"/>
  <c r="E108" i="4"/>
  <c r="E107" i="4"/>
  <c r="E109" i="4"/>
  <c r="E121" i="4"/>
  <c r="E120" i="4"/>
  <c r="E125" i="4"/>
  <c r="E111" i="4"/>
  <c r="E116" i="4"/>
  <c r="E115" i="4"/>
  <c r="E119" i="4"/>
  <c r="E124" i="4"/>
  <c r="E123" i="4"/>
</calcChain>
</file>

<file path=xl/sharedStrings.xml><?xml version="1.0" encoding="utf-8"?>
<sst xmlns="http://schemas.openxmlformats.org/spreadsheetml/2006/main" count="745" uniqueCount="312">
  <si>
    <t>South Shore Schools — FY24 spending vs Spring 2024 MCAS</t>
  </si>
  <si>
    <t>Same-year pairing: FY24 = school year 2023-24. Source: DESE RADAR district-comparison.xlsx</t>
  </si>
  <si>
    <t>District</t>
  </si>
  <si>
    <t>Type</t>
  </si>
  <si>
    <t>In-Dist FTE</t>
  </si>
  <si>
    <t>In-Dist PPE</t>
  </si>
  <si>
    <t>Total PPE</t>
  </si>
  <si>
    <t>ELA 3-8 %M+E</t>
  </si>
  <si>
    <t>Math 3-8 %M+E</t>
  </si>
  <si>
    <t>Avg M+E</t>
  </si>
  <si>
    <t>Low Inc %</t>
  </si>
  <si>
    <t>EL %</t>
  </si>
  <si>
    <t>SWD %</t>
  </si>
  <si>
    <t>ELA 10 %M+E</t>
  </si>
  <si>
    <t>Math 10 %M+E</t>
  </si>
  <si>
    <t>Abington</t>
  </si>
  <si>
    <t>K-12</t>
  </si>
  <si>
    <t>Braintree</t>
  </si>
  <si>
    <t>Bridgewater-Raynham</t>
  </si>
  <si>
    <t>K-12 Reg</t>
  </si>
  <si>
    <t>Carver</t>
  </si>
  <si>
    <t>Cohasset</t>
  </si>
  <si>
    <t>Duxbury</t>
  </si>
  <si>
    <t>East Bridgewater</t>
  </si>
  <si>
    <t>Halifax</t>
  </si>
  <si>
    <t>K-6</t>
  </si>
  <si>
    <t>Hanover</t>
  </si>
  <si>
    <t>Hingham</t>
  </si>
  <si>
    <t>Holbrook</t>
  </si>
  <si>
    <t>Hull</t>
  </si>
  <si>
    <t>Kingston</t>
  </si>
  <si>
    <t>Marshfield</t>
  </si>
  <si>
    <t>Middleborough</t>
  </si>
  <si>
    <t>Norwell</t>
  </si>
  <si>
    <t>Pembroke</t>
  </si>
  <si>
    <t>Plymouth</t>
  </si>
  <si>
    <t>Quincy</t>
  </si>
  <si>
    <t>Rockland</t>
  </si>
  <si>
    <t>Scituate</t>
  </si>
  <si>
    <t>Silver Lake</t>
  </si>
  <si>
    <t>7-12 Reg</t>
  </si>
  <si>
    <t>Weymouth</t>
  </si>
  <si>
    <t>Whitman-Hanson</t>
  </si>
  <si>
    <t>Old Colony Reg VT</t>
  </si>
  <si>
    <t>9-12 VT</t>
  </si>
  <si>
    <t>South Shore Reg VT</t>
  </si>
  <si>
    <t>MASSACHUSETTS</t>
  </si>
  <si>
    <t>STATE</t>
  </si>
  <si>
    <t>South Shore Schools — FY23 spending vs Spring 2023 MCAS</t>
  </si>
  <si>
    <t>Same-year pairing: FY23 = school year 2022-23. Source: DESE RADAR district-comparison.xlsx</t>
  </si>
  <si>
    <t>Year-over-Year Change: FY23 → FY24 (same district, same metrics)</t>
  </si>
  <si>
    <t>Positive PPE delta = more spending. Positive MCAS delta = improved outcomes. Positive LowInc delta = demographic shift toward higher need.</t>
  </si>
  <si>
    <t>In-Dist PPE FY23</t>
  </si>
  <si>
    <t>In-Dist PPE FY24</t>
  </si>
  <si>
    <t>% Chg PPE</t>
  </si>
  <si>
    <t>Avg M+E 2023</t>
  </si>
  <si>
    <t>Avg M+E 2024</t>
  </si>
  <si>
    <t>Δ Avg M+E (pp)</t>
  </si>
  <si>
    <t>Low Inc 2023</t>
  </si>
  <si>
    <t>Low Inc 2024</t>
  </si>
  <si>
    <t>Δ Low Inc (pp)</t>
  </si>
  <si>
    <t>Correlation Analysis — controlling for demographics</t>
  </si>
  <si>
    <t>K-12 districts only (excludes Halifax/Kingston K-6, Silver Lake 7-12, voc-techs, state). Hull kept in for completeness but flagged as PPE outlier.</t>
  </si>
  <si>
    <t>K-12 helper block (FY24)</t>
  </si>
  <si>
    <t>Correlations (FY24, K-12 districts)</t>
  </si>
  <si>
    <t>PPE ↔ Avg M+E (raw)</t>
  </si>
  <si>
    <t>PPE ↔ Low Income % (raw)</t>
  </si>
  <si>
    <t>Low Income % ↔ Avg M+E (raw)</t>
  </si>
  <si>
    <t>Partial correlation: PPE ↔ Avg M+E | controlling Low Inc %</t>
  </si>
  <si>
    <t>K-12 averages (FY24)</t>
  </si>
  <si>
    <t>Avg In-Dist PPE</t>
  </si>
  <si>
    <t>Avg ELA+Math M+E</t>
  </si>
  <si>
    <t>Avg Low Income %</t>
  </si>
  <si>
    <t>Residuals: actual Avg M+E vs demographic prediction (FY24)</t>
  </si>
  <si>
    <t>Uses simple linear regression of Avg M+E on Low Income %. Positive = outperforming demographics, negative = underperforming.</t>
  </si>
  <si>
    <t>Actual Avg M+E</t>
  </si>
  <si>
    <t>Expected from LowInc</t>
  </si>
  <si>
    <t>Residual (pp)</t>
  </si>
  <si>
    <t>EXTENDED MODEL — best scores for the money</t>
  </si>
  <si>
    <t>Predicts Avg ELA+Math M+E from Low Income %, SWD %, EL %, AND In-District PPE.</t>
  </si>
  <si>
    <t>Residual = actual minus predicted. Positive = district beats what its demographics AND its budget predict.</t>
  </si>
  <si>
    <t>A district with +5pp residual is delivering 5 percentage points more academic performance than peers with matched demographics and spending.</t>
  </si>
  <si>
    <t>Regression coefficients (LINEST, 2024)</t>
  </si>
  <si>
    <t>Intercept</t>
  </si>
  <si>
    <t>Low Income % coefficient</t>
  </si>
  <si>
    <t>SWD % coefficient</t>
  </si>
  <si>
    <t>EL % coefficient</t>
  </si>
  <si>
    <t>In-Dist PPE coefficient</t>
  </si>
  <si>
    <t>R-squared (Model 3)</t>
  </si>
  <si>
    <t>R² of Low Income only</t>
  </si>
  <si>
    <t>Multi-variable residuals: "best scores for the money"</t>
  </si>
  <si>
    <t>Ranked highest residual (best value) to lowest (worst value).</t>
  </si>
  <si>
    <t>Predicted</t>
  </si>
  <si>
    <t>Value Rank</t>
  </si>
  <si>
    <t>Raw efficiency: MCAS % per $1,000 of In-District PPE (no demographic adjustment)</t>
  </si>
  <si>
    <t>Simple ratio. Does NOT control for demographics — use the residual above for the rigorous answer.</t>
  </si>
  <si>
    <t>MCAS pp per $1K PPE</t>
  </si>
  <si>
    <t>Raw Rank</t>
  </si>
  <si>
    <t>Multi-year stability of "best scores for the money" residuals</t>
  </si>
  <si>
    <t>Same four-variable regression (Low Inc %, SWD %, EL %, In-Dist PPE) run separately for each year.</t>
  </si>
  <si>
    <t>2020 omitted (no MCAS administered due to COVID). Residuals in percentage points.</t>
  </si>
  <si>
    <t>RESIDUALS BY YEAR (percentage points)</t>
  </si>
  <si>
    <t>INPUTS BY YEAR (helper block)</t>
  </si>
  <si>
    <t>FY2019</t>
  </si>
  <si>
    <t>FY2021</t>
  </si>
  <si>
    <t>FY2022</t>
  </si>
  <si>
    <t>FY2023</t>
  </si>
  <si>
    <t>FY2024</t>
  </si>
  <si>
    <t>Mean</t>
  </si>
  <si>
    <t>StDev</t>
  </si>
  <si>
    <t>Min</t>
  </si>
  <si>
    <t>Max</t>
  </si>
  <si>
    <t>Sign</t>
  </si>
  <si>
    <t>PERSISTENCE SUMMARY</t>
  </si>
  <si>
    <t>Coefficients</t>
  </si>
  <si>
    <t>Districts consistently outperforming (5/5 years positive)</t>
  </si>
  <si>
    <t>Districts consistently underperforming (5/5 years negative)</t>
  </si>
  <si>
    <t>LowInc coef</t>
  </si>
  <si>
    <t>Districts mixed (changed sign at least once)</t>
  </si>
  <si>
    <t>SWD coef</t>
  </si>
  <si>
    <t>EL coef</t>
  </si>
  <si>
    <t>HOW TO READ THIS:</t>
  </si>
  <si>
    <t>PPE coef</t>
  </si>
  <si>
    <t>• Mean residual = average across 5 years. The most robust ranking — single-year noise washes out.</t>
  </si>
  <si>
    <t>R²</t>
  </si>
  <si>
    <t>• StDev = year-to-year variability of the residual. Low = stable signal. High = noisy.</t>
  </si>
  <si>
    <t>• Sign column = "all +" or "all -" means the district was on the same side every single year.</t>
  </si>
  <si>
    <t xml:space="preserve">  This is a strong persistence test — chance alone would put fewer than 1 in 16 districts on</t>
  </si>
  <si>
    <t xml:space="preserve">  the same side for 5 consecutive years. With 11 of 21 districts persistent, this is signal.</t>
  </si>
  <si>
    <t>WHITMAN-HANSON: Mean -3.2pp, StDev 0.84 (the LOWEST volatility in the negative-residual group).</t>
  </si>
  <si>
    <t>W-H is consistently underperforming its demographics + spending by 2-4pp every year for 5 years.</t>
  </si>
  <si>
    <t>This is not noise. The deficit is stable and structural.</t>
  </si>
  <si>
    <t>CARVER is the most extreme outlier: -9.8pp mean, never above -8.8pp in any year.</t>
  </si>
  <si>
    <t>MIDDLEBOROUGH is the most underrated: +6.4pp mean, never below +5.0pp. Strong story.</t>
  </si>
  <si>
    <t>Regional model vs. Statewide model — residuals compared</t>
  </si>
  <si>
    <t>Same regression specification (Low Inc %, SWD %, EL %, In-Dist PPE) but calibrated on two different peer groups.</t>
  </si>
  <si>
    <t>Regional model: 21 South Shore K-12 districts (R² avg 0.86). Statewide model: 394 MA K-12 districts (R² avg 0.46).</t>
  </si>
  <si>
    <t>STATEWIDE-MODEL RESIDUALS, YEAR BY YEAR (percentage points)</t>
  </si>
  <si>
    <t>State Mean</t>
  </si>
  <si>
    <t>SS Mean</t>
  </si>
  <si>
    <t>Shift (State - SS)</t>
  </si>
  <si>
    <t>Story</t>
  </si>
  <si>
    <t>Good in both</t>
  </si>
  <si>
    <t>Looks bad regionally, fine statewide</t>
  </si>
  <si>
    <t>Bad in both</t>
  </si>
  <si>
    <t>STATEWIDE PERCENTILE RANKINGS (5-year mean residual)</t>
  </si>
  <si>
    <t>State Rank</t>
  </si>
  <si>
    <t>Percentile</t>
  </si>
  <si>
    <t>Interpretation</t>
  </si>
  <si>
    <t>#37 of 394</t>
  </si>
  <si>
    <t>Top 15% statewide</t>
  </si>
  <si>
    <t>#50 of 394</t>
  </si>
  <si>
    <t>#95 of 394</t>
  </si>
  <si>
    <t>Top 30%</t>
  </si>
  <si>
    <t>#98 of 394</t>
  </si>
  <si>
    <t>#107 of 394</t>
  </si>
  <si>
    <t>#130 of 394</t>
  </si>
  <si>
    <t>Above state average</t>
  </si>
  <si>
    <t>#132 of 394</t>
  </si>
  <si>
    <t>#152 of 394</t>
  </si>
  <si>
    <t>#190 of 394</t>
  </si>
  <si>
    <t>Near state average</t>
  </si>
  <si>
    <t>#196 of 394</t>
  </si>
  <si>
    <t>#199 of 394</t>
  </si>
  <si>
    <t>#200 of 394</t>
  </si>
  <si>
    <t>#203 of 394</t>
  </si>
  <si>
    <t>#204 of 394</t>
  </si>
  <si>
    <t>#238 of 394</t>
  </si>
  <si>
    <t>Below average</t>
  </si>
  <si>
    <t>#245 of 394</t>
  </si>
  <si>
    <t>#258 of 394</t>
  </si>
  <si>
    <t>#299 of 394</t>
  </si>
  <si>
    <t>Bottom 30%</t>
  </si>
  <si>
    <t>#307 of 394</t>
  </si>
  <si>
    <t>#314 of 394</t>
  </si>
  <si>
    <t>#345 of 394</t>
  </si>
  <si>
    <t>Bottom 15% statewide</t>
  </si>
  <si>
    <t>KEY FINDINGS</t>
  </si>
  <si>
    <t>1. CARVER IS THE ONLY DISTRICT WHOSE STORY IS IDENTICAL IN BOTH FRAMES.</t>
  </si>
  <si>
    <t xml:space="preserve">   Regional residual: -9.8pp. State residual: -9.6pp. Bottom 13% statewide.</t>
  </si>
  <si>
    <t xml:space="preserve">   The underperformance is not a regional artifact. It holds against any peer group.</t>
  </si>
  <si>
    <t>2. MIDDLEBOROUGH WEAKENS SIGNIFICANTLY AGAINST THE STATE BENCHMARK.</t>
  </si>
  <si>
    <t xml:space="preserve">   Regional residual: +6.4pp (#2 in region). State residual: +2.0pp (48th percentile).</t>
  </si>
  <si>
    <t xml:space="preserve">   Middleborough is a regional star, not a state exemplar.</t>
  </si>
  <si>
    <t xml:space="preserve">   Much of the regional outperformance comes from being compared to affluent SS</t>
  </si>
  <si>
    <t xml:space="preserve">   districts that themselves underperform within the region.</t>
  </si>
  <si>
    <t>3. HINGHAM STRENGTHENS AGAINST THE STATE BENCHMARK.</t>
  </si>
  <si>
    <t xml:space="preserve">   Regional residual: +7.9pp. State residual: +14.1pp (91st percentile).</t>
  </si>
  <si>
    <t xml:space="preserve">   Hingham is a genuine top-10% performer statewide, not just a regional leader.</t>
  </si>
  <si>
    <t>4. AFFLUENT SOUTH SHORE DISTRICTS LOOK BETTER AGAINST THE STATE.</t>
  </si>
  <si>
    <t xml:space="preserve">   Cohasset, Duxbury, Hanover, and Plymouth all flip from negative (regional) to</t>
  </si>
  <si>
    <t xml:space="preserve">   positive (state). Their "underperformance" in the regional model reflects</t>
  </si>
  <si>
    <t xml:space="preserve">   comparison to each other rather than to demographic peers statewide.</t>
  </si>
  <si>
    <t>5. W-H LOOKS WORSE, NOT BETTER, AGAINST THE STATE.</t>
  </si>
  <si>
    <t xml:space="preserve">   Regional residual: -3.2pp. State residual: -5.1pp (21st percentile).</t>
  </si>
  <si>
    <t xml:space="preserve">   The expected-outcome gap widens, not narrows, when compared to statewide peers.</t>
  </si>
  <si>
    <t>WHICH MODEL IS "RIGHT"?</t>
  </si>
  <si>
    <t>Neither, exactly. They answer different questions:</t>
  </si>
  <si>
    <t>• Regional model asks: "Among our neighbors, who delivers?" Useful for local context.</t>
  </si>
  <si>
    <t>• Statewide model asks: "Against all MA districts with your demographic profile,</t>
  </si>
  <si>
    <t xml:space="preserve">  where do you fall?" More defensible statistically (larger sample, wider variation).</t>
  </si>
  <si>
    <t>METHODOLOGY NOTE ON PPE COEFFICIENT</t>
  </si>
  <si>
    <t>In the SS-only model, PPE coefficient is positive (+0.008 to +0.014 per $1K).</t>
  </si>
  <si>
    <t>In the statewide model, PPE coefficient is negative (-0.002 to -0.008 per $1K).</t>
  </si>
  <si>
    <t>This is not a contradiction. Statewide, high-spending districts include many small</t>
  </si>
  <si>
    <t>regional districts with diseconomies of scale, urban districts with higher unit costs,</t>
  </si>
  <si>
    <t>and districts with expensive out-of-district special ed placements. Spending correlates</t>
  </si>
  <si>
    <t>with need, and need correlates negatively with outcomes once demographics are controlled.</t>
  </si>
  <si>
    <t>Within the homogeneous SS sample, those structural anomalies are mostly absent.</t>
  </si>
  <si>
    <t>Sources &amp; Methods</t>
  </si>
  <si>
    <t>PRIMARY SOURCE</t>
  </si>
  <si>
    <t>DESE Resource Allocation and District Action Reports (RADAR) — District Comparison Statistics</t>
  </si>
  <si>
    <t>URL: https://www.doe.mass.edu/research/radar/district-comparison.xlsx</t>
  </si>
  <si>
    <t>Contains 16 years (2009-2024) of PPE, MCAS, and demographics for every MA public school district.</t>
  </si>
  <si>
    <t>PAIRING CONVENTION</t>
  </si>
  <si>
    <t>This workbook pairs FY[N] per-pupil expenditures with Spring [N] MCAS. Both occur within</t>
  </si>
  <si>
    <t>the same school year [N-1]-[N]. Example: FY24 spending = school year 2023-24 = Spring 2024 MCAS.</t>
  </si>
  <si>
    <t>This is more rigorous than pairing FY24 spending with Spring 2025 MCAS (which is funded by</t>
  </si>
  <si>
    <t>FY25 spending not yet reported).</t>
  </si>
  <si>
    <t>COLUMN DEFINITIONS</t>
  </si>
  <si>
    <t>In-District PPE: operating expenditures divided by in-district FTE. Excludes out-of-district placements.</t>
  </si>
  <si>
    <t>Total PPE: includes out-of-district placements (tuition for special ed, charter, etc).</t>
  </si>
  <si>
    <t>ELA/Math 3-8 %M+E: share of grades 3-8 students meeting or exceeding expectations (combined across grades).</t>
  </si>
  <si>
    <t>Avg M+E: simple average of ELA and Math %M+E.</t>
  </si>
  <si>
    <t>Low Income %: share of students flagged low-income per DESE definition (SNAP, TAFDC, MassHealth, foster).</t>
  </si>
  <si>
    <t>EL %: English Learners (share of enrollment).</t>
  </si>
  <si>
    <t>SWD %: Students With Disabilities (share of enrollment).</t>
  </si>
  <si>
    <t>DEMOGRAPHIC-ADJUSTED ANALYSIS</t>
  </si>
  <si>
    <t>The Analysis sheet computes residuals — actual Avg M+E minus the value predicted by a simple linear</t>
  </si>
  <si>
    <t>regression on Low Income %. Positive residuals mean the district is outperforming what demographics</t>
  </si>
  <si>
    <t>alone would predict. Negative residuals mean the district is underperforming.</t>
  </si>
  <si>
    <t>K-12 SUBSET (for correlations)</t>
  </si>
  <si>
    <t>Correlation analysis uses only regular K-12 districts (20 districts) to avoid mixing elementary-only,</t>
  </si>
  <si>
    <t>secondary-only, and vocational-technical districts which have structurally different cost bases.</t>
  </si>
  <si>
    <t>Halifax (K-6), Kingston (K-6), Silver Lake (7-12 Reg), Old Colony Reg VT, and South Shore Reg VT are</t>
  </si>
  <si>
    <t>excluded from the correlation block but still shown in the data tables.</t>
  </si>
  <si>
    <t>CAVEATS</t>
  </si>
  <si>
    <t>• Hull is a PPE outlier (~$31K) due to its small enrollment (~750 FTE) and fixed facility costs.</t>
  </si>
  <si>
    <t>• MCAS scoring was recalibrated around 2017-2018, creating a level discontinuity. Only 2019+ years</t>
  </si>
  <si>
    <t xml:space="preserve">  are directly comparable to 2024. Long-term trends (e.g. W-H 2009-2024) span that change.</t>
  </si>
  <si>
    <t>• 2020 has data-quality issues in the source file because no MCAS was administered due to COVID.</t>
  </si>
  <si>
    <t>• Correlation is not causation. Demographics, geography, out-of-district placement rates, and many</t>
  </si>
  <si>
    <t xml:space="preserve">  other factors influence both spending and outcomes.</t>
  </si>
  <si>
    <t>NOTES ON WHITMAN-HANSON</t>
  </si>
  <si>
    <t>W-H FY23 → FY24: In-Dist PPE rose from $17,232 to $18,079 (+4.9%).</t>
  </si>
  <si>
    <t>W-H Avg M+E (grades 3-8): 43.0% (2023) → 38.0% (2024), a 5pp decline.</t>
  </si>
  <si>
    <t>W-H Low Income %: 29.9% (2023) → 30.5% (2024), a modest shift.</t>
  </si>
  <si>
    <t>The story: W-H is spending more and serving a slightly more disadvantaged population, but MCAS</t>
  </si>
  <si>
    <t>outcomes declined year-over-year. Residual analysis (Analysis sheet) shows whether W-H is over-</t>
  </si>
  <si>
    <t>or under-performing its demographic peer group in 2024.</t>
  </si>
  <si>
    <t>EXTENDED MODEL (added in v4)</t>
  </si>
  <si>
    <t>The Analysis sheet includes a four-variable OLS regression predicting Avg M+E from Low Income %,</t>
  </si>
  <si>
    <t>SWD %, EL %, and In-District PPE. Residuals from this model answer "which districts get the best</t>
  </si>
  <si>
    <t>academic results for their money, after accounting for who they serve."</t>
  </si>
  <si>
    <t>Model fit: R² jumps from 0.73 (Low Income only) to 0.88 (all four predictors). Adding spending and</t>
  </si>
  <si>
    <t>the other demographic controls explains roughly 60% of the variance that Low Income % alone leaves</t>
  </si>
  <si>
    <t>unexplained — meaningful but not dispositive.</t>
  </si>
  <si>
    <t>Interpretation rules:</t>
  </si>
  <si>
    <t>• Positive residual = delivering more academic performance than demographics + budget predict.</t>
  </si>
  <si>
    <t>• Negative residual = underperforming expectations, even after giving the district full credit for</t>
  </si>
  <si>
    <t xml:space="preserve">  its demographic challenges and its spending level.</t>
  </si>
  <si>
    <t>• The model uses FY24 spending paired with Spring 2024 MCAS (same school year).</t>
  </si>
  <si>
    <t>Caveats specific to the extended model:</t>
  </si>
  <si>
    <t>• n = 21 K-12 districts, 4 predictors → 16 degrees of freedom. Adequate but not abundant.</t>
  </si>
  <si>
    <t>• Hull is a PPE outlier (~$31K, ~750 FTE) — its residual is sensitive to the PPE coefficient.</t>
  </si>
  <si>
    <t>• The EL % range in these districts is narrow (most below 8%), so the EL coefficient is not robust.</t>
  </si>
  <si>
    <t>• No controls for out-of-district placement rates, teacher experience, or facility age/quality.</t>
  </si>
  <si>
    <t>• Correlation is not causation. A positive residual does not prove a district is "well-managed";</t>
  </si>
  <si>
    <t xml:space="preserve">  it just means it is outperforming peers on this specific set of controls.</t>
  </si>
  <si>
    <t>MULTI-YEAR STABILITY (added in v5)</t>
  </si>
  <si>
    <t>The Multi-Year Residuals sheet runs the four-variable model independently for each of 5 years</t>
  </si>
  <si>
    <t>(2019, 2021, 2022, 2023, 2024). 2020 is omitted because MCAS was not administered due to COVID.</t>
  </si>
  <si>
    <t>Year-by-year R² ranges from 0.80 (2019) to 0.91 (2023) — model fit is consistently strong.</t>
  </si>
  <si>
    <t>PPE coefficient stays positive across all 5 years (range +0.0076 to +0.0136 per $1K), confirming</t>
  </si>
  <si>
    <t>that spending genuinely contributes to outcomes once demographics are controlled.</t>
  </si>
  <si>
    <t>PERSISTENCE FINDINGS:</t>
  </si>
  <si>
    <t>• 5 of 21 K-12 districts had positive residuals every single year (Hingham, Middleborough,</t>
  </si>
  <si>
    <t xml:space="preserve">  Marshfield, Scituate, Braintree).</t>
  </si>
  <si>
    <t>• 6 of 21 had negative residuals every single year (Pembroke, Hanover, Duxbury, Plymouth,</t>
  </si>
  <si>
    <t xml:space="preserve">  Whitman-Hanson, Carver).</t>
  </si>
  <si>
    <t>• 10 of 21 changed sign at least once — these are the genuinely ambiguous cases.</t>
  </si>
  <si>
    <t>The 11 persistent districts represent real signal. Random noise alone would put fewer than 1 in</t>
  </si>
  <si>
    <t>16 districts on the same side of zero for 5 consecutive years.</t>
  </si>
  <si>
    <t>IMPLICATIONS FOR REPORTING:</t>
  </si>
  <si>
    <t>• Use mean residual (not single-year) for any published ranking.</t>
  </si>
  <si>
    <t>• Flag any district with StDev &gt; 2.5pp as volatile (Cohasset, Hull, Holbrook, Marshfield, Abington).</t>
  </si>
  <si>
    <t>• Districts with low StDev AND consistent sign are the safest stories — Middleborough (+6.4±1.3),</t>
  </si>
  <si>
    <t xml:space="preserve">  Hingham (+7.9±1.3), Carver (-9.8±1.2), Whitman-Hanson (-3.2±0.8).</t>
  </si>
  <si>
    <t>DUAL-FRAME ANALYSIS (added in v6)</t>
  </si>
  <si>
    <t>The State Comparison sheet runs the same 4-variable regression (Low Inc %, SWD %, EL %, PPE)</t>
  </si>
  <si>
    <t>against all 394 K-12 districts in Massachusetts, rather than just the 21 South Shore districts.</t>
  </si>
  <si>
    <t>KEY DIFFERENCES BETWEEN THE TWO MODELS:</t>
  </si>
  <si>
    <t>• SS-only model: n=21, average R²=0.86, PPE coefficient consistently positive.</t>
  </si>
  <si>
    <t>• Statewide model: n=394, average R²=0.46, PPE coefficient consistently negative.</t>
  </si>
  <si>
    <t>The PPE coefficient flip is real and expected. In the statewide sample, high-spending</t>
  </si>
  <si>
    <t>districts include many small regional districts with diseconomies of scale, urban districts</t>
  </si>
  <si>
    <t>with high per-pupil costs, and districts with expensive out-of-district special ed</t>
  </si>
  <si>
    <t>placements. These structural anomalies drag the statewide PPE-outcome relationship negative</t>
  </si>
  <si>
    <t>once demographics are controlled. The SS sample is too homogeneous to capture them.</t>
  </si>
  <si>
    <t>FINDINGS THAT ARE ROBUST ACROSS BOTH FRAMES:</t>
  </si>
  <si>
    <t>• Hingham is a top-decile performer (91st percentile statewide, +7.9pp regional).</t>
  </si>
  <si>
    <t>• Carver is bottom-15% (13th percentile statewide, -9.8pp regional).</t>
  </si>
  <si>
    <t>• W-H is a persistent underperformer in both frames (21st percentile, -3.2pp regional).</t>
  </si>
  <si>
    <t>FINDINGS THAT ARE SENSITIVE TO FRAME CHOICE:</t>
  </si>
  <si>
    <t>• Middleborough: strong regional story (+6.4pp, #2), modest statewide (+2.0pp, 48th %ile).</t>
  </si>
  <si>
    <t>• Affluent SS districts (Cohasset, Duxbury, Hanover, Plymouth): negative regionally,</t>
  </si>
  <si>
    <t xml:space="preserve">  positive statewide. Their "underperformance" is largely against their own peer group.</t>
  </si>
  <si>
    <t>WHICH FRAME TO USE:</t>
  </si>
  <si>
    <t>The article defaults to the regional frame because SSN readers care about how their</t>
  </si>
  <si>
    <t>town stacks up against neighbors. The state frame is disclosed in the methodology section</t>
  </si>
  <si>
    <t>and this workbook for anyone who wants to know how the ranking changes against the</t>
  </si>
  <si>
    <t>broader MA K-12 universe.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</si>
</sst>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\$#,##0"/>
    <numFmt numFmtId="165" formatCode="0.0%"/>
    <numFmt numFmtId="166" formatCode="0.0%;\(0.0%\);\-"/>
    <numFmt numFmtId="167" formatCode="\+0.0%;\-0.0%;\-"/>
    <numFmt numFmtId="168" formatCode="0.000;\(0.000\);\-"/>
    <numFmt numFmtId="169" formatCode="0.000000"/>
    <numFmt numFmtId="170" formatCode="0.000"/>
    <numFmt numFmtId="171" formatCode="0.00&quot; pp/$1K&quot;"/>
    <numFmt numFmtId="172" formatCode="\+0.0;\-0.0;\-"/>
    <numFmt numFmtId="173" formatCode="0&quot;th&quot;"/>
  </numFmts>
  <fonts count="7" x14ac:knownFonts="1">
    <font>
      <sz val="11"/>
      <color theme="1"/>
      <name val="Calibri"/>
      <family val="2"/>
      <charset val="1"/>
    </font>
    <font>
      <b/>
      <sz val="13"/>
      <name val="Arial"/>
      <family val="2"/>
    </font>
    <font>
      <i/>
      <sz val="9"/>
      <color rgb="FF595959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4" fillId="0" borderId="0" xfId="0" applyFont="1"/>
    <xf numFmtId="0" fontId="5" fillId="0" borderId="0" xfId="0" applyFont="1"/>
    <xf numFmtId="0" fontId="2" fillId="0" borderId="0" xfId="0" applyFont="1"/>
    <xf numFmtId="0" fontId="1" fillId="0" borderId="0" xfId="0" applyFont="1"/>
    <xf numFmtId="0" fontId="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165" fontId="4" fillId="0" borderId="1" xfId="0" applyNumberFormat="1" applyFont="1" applyBorder="1"/>
    <xf numFmtId="0" fontId="5" fillId="3" borderId="1" xfId="0" applyFont="1" applyFill="1" applyBorder="1"/>
    <xf numFmtId="3" fontId="5" fillId="3" borderId="1" xfId="0" applyNumberFormat="1" applyFont="1" applyFill="1" applyBorder="1"/>
    <xf numFmtId="164" fontId="5" fillId="3" borderId="1" xfId="0" applyNumberFormat="1" applyFont="1" applyFill="1" applyBorder="1"/>
    <xf numFmtId="165" fontId="5" fillId="3" borderId="1" xfId="0" applyNumberFormat="1" applyFont="1" applyFill="1" applyBorder="1"/>
    <xf numFmtId="0" fontId="5" fillId="4" borderId="1" xfId="0" applyFont="1" applyFill="1" applyBorder="1"/>
    <xf numFmtId="3" fontId="5" fillId="4" borderId="1" xfId="0" applyNumberFormat="1" applyFont="1" applyFill="1" applyBorder="1"/>
    <xf numFmtId="164" fontId="5" fillId="4" borderId="1" xfId="0" applyNumberFormat="1" applyFont="1" applyFill="1" applyBorder="1"/>
    <xf numFmtId="165" fontId="5" fillId="4" borderId="1" xfId="0" applyNumberFormat="1" applyFont="1" applyFill="1" applyBorder="1"/>
    <xf numFmtId="166" fontId="4" fillId="0" borderId="1" xfId="0" applyNumberFormat="1" applyFont="1" applyBorder="1"/>
    <xf numFmtId="167" fontId="4" fillId="0" borderId="1" xfId="0" applyNumberFormat="1" applyFont="1" applyBorder="1"/>
    <xf numFmtId="166" fontId="5" fillId="3" borderId="1" xfId="0" applyNumberFormat="1" applyFont="1" applyFill="1" applyBorder="1"/>
    <xf numFmtId="167" fontId="5" fillId="3" borderId="1" xfId="0" applyNumberFormat="1" applyFont="1" applyFill="1" applyBorder="1"/>
    <xf numFmtId="166" fontId="5" fillId="4" borderId="1" xfId="0" applyNumberFormat="1" applyFont="1" applyFill="1" applyBorder="1"/>
    <xf numFmtId="167" fontId="5" fillId="4" borderId="1" xfId="0" applyNumberFormat="1" applyFont="1" applyFill="1" applyBorder="1"/>
    <xf numFmtId="0" fontId="5" fillId="0" borderId="0" xfId="0" applyFont="1"/>
    <xf numFmtId="0" fontId="4" fillId="0" borderId="0" xfId="0" applyFont="1"/>
    <xf numFmtId="168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9" fontId="4" fillId="0" borderId="0" xfId="0" applyNumberFormat="1" applyFont="1"/>
    <xf numFmtId="170" fontId="4" fillId="0" borderId="0" xfId="0" applyNumberFormat="1" applyFont="1"/>
    <xf numFmtId="1" fontId="4" fillId="0" borderId="1" xfId="0" applyNumberFormat="1" applyFont="1" applyBorder="1"/>
    <xf numFmtId="1" fontId="5" fillId="3" borderId="1" xfId="0" applyNumberFormat="1" applyFont="1" applyFill="1" applyBorder="1"/>
    <xf numFmtId="171" fontId="4" fillId="0" borderId="1" xfId="0" applyNumberFormat="1" applyFont="1" applyBorder="1"/>
    <xf numFmtId="171" fontId="5" fillId="3" borderId="1" xfId="0" applyNumberFormat="1" applyFont="1" applyFill="1" applyBorder="1"/>
    <xf numFmtId="0" fontId="3" fillId="2" borderId="1" xfId="0" applyFont="1" applyFill="1" applyBorder="1" applyAlignment="1">
      <alignment horizontal="center" wrapText="1"/>
    </xf>
    <xf numFmtId="172" fontId="4" fillId="0" borderId="1" xfId="0" applyNumberFormat="1" applyFont="1" applyBorder="1"/>
    <xf numFmtId="2" fontId="4" fillId="0" borderId="1" xfId="0" applyNumberFormat="1" applyFont="1" applyBorder="1"/>
    <xf numFmtId="0" fontId="4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72" fontId="5" fillId="3" borderId="1" xfId="0" applyNumberFormat="1" applyFont="1" applyFill="1" applyBorder="1"/>
    <xf numFmtId="2" fontId="5" fillId="3" borderId="1" xfId="0" applyNumberFormat="1" applyFont="1" applyFill="1" applyBorder="1"/>
    <xf numFmtId="0" fontId="5" fillId="3" borderId="1" xfId="0" applyFont="1" applyFill="1" applyBorder="1" applyAlignment="1">
      <alignment horizontal="center"/>
    </xf>
    <xf numFmtId="1" fontId="5" fillId="0" borderId="0" xfId="0" applyNumberFormat="1" applyFont="1"/>
    <xf numFmtId="172" fontId="5" fillId="0" borderId="1" xfId="0" applyNumberFormat="1" applyFont="1" applyBorder="1"/>
    <xf numFmtId="172" fontId="0" fillId="0" borderId="1" xfId="0" applyNumberFormat="1" applyBorder="1"/>
    <xf numFmtId="0" fontId="2" fillId="0" borderId="1" xfId="0" applyFont="1" applyBorder="1"/>
    <xf numFmtId="172" fontId="4" fillId="4" borderId="1" xfId="0" applyNumberFormat="1" applyFont="1" applyFill="1" applyBorder="1"/>
    <xf numFmtId="172" fontId="5" fillId="4" borderId="1" xfId="0" applyNumberFormat="1" applyFont="1" applyFill="1" applyBorder="1"/>
    <xf numFmtId="172" fontId="0" fillId="4" borderId="1" xfId="0" applyNumberFormat="1" applyFill="1" applyBorder="1"/>
    <xf numFmtId="0" fontId="2" fillId="4" borderId="1" xfId="0" applyFont="1" applyFill="1" applyBorder="1"/>
    <xf numFmtId="0" fontId="3" fillId="2" borderId="0" xfId="0" applyFont="1" applyFill="1"/>
    <xf numFmtId="173" fontId="4" fillId="0" borderId="0" xfId="0" applyNumberFormat="1" applyFont="1"/>
    <xf numFmtId="0" fontId="6" fillId="0" borderId="0" xfId="0" applyFont="1"/>
    <xf numFmtId="0" fontId="5" fillId="4" borderId="0" xfId="0" applyFont="1" applyFill="1"/>
    <xf numFmtId="0" fontId="4" fillId="4" borderId="0" xfId="0" applyFont="1" applyFill="1"/>
    <xf numFmtId="173" fontId="4" fillId="4" borderId="0" xfId="0" applyNumberFormat="1" applyFont="1" applyFill="1"/>
    <xf numFmtId="0" fontId="6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1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M1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3" width="11" customWidth="1"/>
    <col min="4" max="7" width="12" customWidth="1"/>
    <col min="8" max="9" width="11" customWidth="1"/>
    <col min="10" max="11" width="9" customWidth="1"/>
    <col min="12" max="13" width="12" customWidth="1"/>
  </cols>
  <sheetData>
    <row r="1" spans="1:13" ht="15.75" customHeight="1" x14ac:dyDescent="0.2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customHeight="1" x14ac:dyDescent="0.2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3" ht="15" customHeight="1" x14ac:dyDescent="0.2">
      <c r="A5" s="7" t="s">
        <v>15</v>
      </c>
      <c r="B5" s="7" t="s">
        <v>16</v>
      </c>
      <c r="C5" s="8">
        <v>2142.5</v>
      </c>
      <c r="D5" s="9">
        <v>17097</v>
      </c>
      <c r="E5" s="9">
        <v>18473</v>
      </c>
      <c r="F5" s="10">
        <v>0.41699999999999998</v>
      </c>
      <c r="G5" s="10">
        <v>0.41599999999999998</v>
      </c>
      <c r="H5" s="10">
        <f t="shared" ref="H5:H31" si="0">IFERROR(AVERAGE(F5,G5),"")</f>
        <v>0.41649999999999998</v>
      </c>
      <c r="I5" s="10">
        <v>0.32500000000000001</v>
      </c>
      <c r="J5" s="10">
        <v>0.11700000000000001</v>
      </c>
      <c r="K5" s="10">
        <v>0.188</v>
      </c>
      <c r="L5" s="10">
        <v>0.45300000000000001</v>
      </c>
      <c r="M5" s="10">
        <v>0.375</v>
      </c>
    </row>
    <row r="6" spans="1:13" ht="15" customHeight="1" x14ac:dyDescent="0.2">
      <c r="A6" s="7" t="s">
        <v>17</v>
      </c>
      <c r="B6" s="7" t="s">
        <v>16</v>
      </c>
      <c r="C6" s="8">
        <v>5313.5</v>
      </c>
      <c r="D6" s="9">
        <v>19549</v>
      </c>
      <c r="E6" s="9">
        <v>20829</v>
      </c>
      <c r="F6" s="10">
        <v>0.48499999999999999</v>
      </c>
      <c r="G6" s="10">
        <v>0.55700000000000005</v>
      </c>
      <c r="H6" s="10">
        <f t="shared" si="0"/>
        <v>0.52100000000000002</v>
      </c>
      <c r="I6" s="10">
        <v>0.27600000000000002</v>
      </c>
      <c r="J6" s="10">
        <v>7.4999999999999997E-2</v>
      </c>
      <c r="K6" s="10">
        <v>0.224</v>
      </c>
      <c r="L6" s="10">
        <v>0.68400000000000005</v>
      </c>
      <c r="M6" s="10">
        <v>0.68400000000000005</v>
      </c>
    </row>
    <row r="7" spans="1:13" ht="15" customHeight="1" x14ac:dyDescent="0.2">
      <c r="A7" s="7" t="s">
        <v>18</v>
      </c>
      <c r="B7" s="7" t="s">
        <v>19</v>
      </c>
      <c r="C7" s="8">
        <v>5630.9</v>
      </c>
      <c r="D7" s="9">
        <v>16125</v>
      </c>
      <c r="E7" s="9">
        <v>16784</v>
      </c>
      <c r="F7" s="10">
        <v>0.371</v>
      </c>
      <c r="G7" s="10">
        <v>0.43099999999999999</v>
      </c>
      <c r="H7" s="10">
        <f t="shared" si="0"/>
        <v>0.40100000000000002</v>
      </c>
      <c r="I7" s="10">
        <v>0.26400000000000001</v>
      </c>
      <c r="J7" s="10">
        <v>3.4000000000000002E-2</v>
      </c>
      <c r="K7" s="10">
        <v>0.19900000000000001</v>
      </c>
      <c r="L7" s="10">
        <v>0.52500000000000002</v>
      </c>
      <c r="M7" s="10">
        <v>0.53</v>
      </c>
    </row>
    <row r="8" spans="1:13" ht="15" customHeight="1" x14ac:dyDescent="0.2">
      <c r="A8" s="7" t="s">
        <v>20</v>
      </c>
      <c r="B8" s="7" t="s">
        <v>16</v>
      </c>
      <c r="C8" s="8">
        <v>1504.5</v>
      </c>
      <c r="D8" s="9">
        <v>19247</v>
      </c>
      <c r="E8" s="9">
        <v>20750</v>
      </c>
      <c r="F8" s="10">
        <v>0.28599999999999998</v>
      </c>
      <c r="G8" s="10">
        <v>0.33200000000000002</v>
      </c>
      <c r="H8" s="10">
        <f t="shared" si="0"/>
        <v>0.309</v>
      </c>
      <c r="I8" s="10">
        <v>0.29499999999999998</v>
      </c>
      <c r="J8" s="10">
        <v>1.9E-2</v>
      </c>
      <c r="K8" s="10">
        <v>0.19700000000000001</v>
      </c>
      <c r="L8" s="10">
        <v>0.54300000000000004</v>
      </c>
      <c r="M8" s="10">
        <v>0.35799999999999998</v>
      </c>
    </row>
    <row r="9" spans="1:13" ht="15" customHeight="1" x14ac:dyDescent="0.2">
      <c r="A9" s="7" t="s">
        <v>21</v>
      </c>
      <c r="B9" s="7" t="s">
        <v>16</v>
      </c>
      <c r="C9" s="8">
        <v>1429.4</v>
      </c>
      <c r="D9" s="9">
        <v>22516</v>
      </c>
      <c r="E9" s="9">
        <v>24119</v>
      </c>
      <c r="F9" s="10">
        <v>0.67900000000000005</v>
      </c>
      <c r="G9" s="10">
        <v>0.67700000000000005</v>
      </c>
      <c r="H9" s="10">
        <f t="shared" si="0"/>
        <v>0.67800000000000005</v>
      </c>
      <c r="I9" s="10">
        <v>6.3E-2</v>
      </c>
      <c r="J9" s="10">
        <v>3.0000000000000001E-3</v>
      </c>
      <c r="K9" s="10">
        <v>0.17</v>
      </c>
      <c r="L9" s="10">
        <v>0.92700000000000005</v>
      </c>
      <c r="M9" s="10">
        <v>0.71799999999999997</v>
      </c>
    </row>
    <row r="10" spans="1:13" ht="15" customHeight="1" x14ac:dyDescent="0.2">
      <c r="A10" s="7" t="s">
        <v>22</v>
      </c>
      <c r="B10" s="7" t="s">
        <v>16</v>
      </c>
      <c r="C10" s="8">
        <v>2739.8</v>
      </c>
      <c r="D10" s="9">
        <v>20115</v>
      </c>
      <c r="E10" s="9">
        <v>21034</v>
      </c>
      <c r="F10" s="10">
        <v>0.63700000000000001</v>
      </c>
      <c r="G10" s="10">
        <v>0.58299999999999996</v>
      </c>
      <c r="H10" s="10">
        <f t="shared" si="0"/>
        <v>0.61</v>
      </c>
      <c r="I10" s="10">
        <v>8.6999999999999994E-2</v>
      </c>
      <c r="J10" s="10">
        <v>6.0000000000000001E-3</v>
      </c>
      <c r="K10" s="10">
        <v>0.16800000000000001</v>
      </c>
      <c r="L10" s="10">
        <v>0.78200000000000003</v>
      </c>
      <c r="M10" s="10">
        <v>0.76200000000000001</v>
      </c>
    </row>
    <row r="11" spans="1:13" ht="15" customHeight="1" x14ac:dyDescent="0.2">
      <c r="A11" s="7" t="s">
        <v>23</v>
      </c>
      <c r="B11" s="7" t="s">
        <v>16</v>
      </c>
      <c r="C11" s="8">
        <v>2010.8</v>
      </c>
      <c r="D11" s="9">
        <v>17593</v>
      </c>
      <c r="E11" s="9">
        <v>18317</v>
      </c>
      <c r="F11" s="10">
        <v>0.40699999999999997</v>
      </c>
      <c r="G11" s="10">
        <v>0.378</v>
      </c>
      <c r="H11" s="10">
        <f t="shared" si="0"/>
        <v>0.39249999999999996</v>
      </c>
      <c r="I11" s="10">
        <v>0.27900000000000003</v>
      </c>
      <c r="J11" s="10">
        <v>3.1E-2</v>
      </c>
      <c r="K11" s="10">
        <v>0.193</v>
      </c>
      <c r="L11" s="10">
        <v>0.43099999999999999</v>
      </c>
      <c r="M11" s="10">
        <v>0.27200000000000002</v>
      </c>
    </row>
    <row r="12" spans="1:13" ht="15" customHeight="1" x14ac:dyDescent="0.2">
      <c r="A12" s="7" t="s">
        <v>24</v>
      </c>
      <c r="B12" s="7" t="s">
        <v>25</v>
      </c>
      <c r="C12" s="8">
        <v>548.79999999999995</v>
      </c>
      <c r="D12" s="9">
        <v>17023</v>
      </c>
      <c r="E12" s="9">
        <v>20264</v>
      </c>
      <c r="F12" s="10">
        <v>0.54800000000000004</v>
      </c>
      <c r="G12" s="10">
        <v>0.55100000000000005</v>
      </c>
      <c r="H12" s="10">
        <f t="shared" si="0"/>
        <v>0.5495000000000001</v>
      </c>
      <c r="I12" s="10">
        <v>0.27100000000000002</v>
      </c>
      <c r="J12" s="10">
        <v>1.0999999999999999E-2</v>
      </c>
      <c r="K12" s="10">
        <v>0.22500000000000001</v>
      </c>
      <c r="L12" s="10">
        <v>0</v>
      </c>
      <c r="M12" s="10">
        <v>0.5</v>
      </c>
    </row>
    <row r="13" spans="1:13" ht="15" customHeight="1" x14ac:dyDescent="0.2">
      <c r="A13" s="7" t="s">
        <v>26</v>
      </c>
      <c r="B13" s="7" t="s">
        <v>16</v>
      </c>
      <c r="C13" s="8">
        <v>2605.4</v>
      </c>
      <c r="D13" s="9">
        <v>16823</v>
      </c>
      <c r="E13" s="9">
        <v>18075</v>
      </c>
      <c r="F13" s="10">
        <v>0.55300000000000005</v>
      </c>
      <c r="G13" s="10">
        <v>0.59399999999999997</v>
      </c>
      <c r="H13" s="10">
        <f t="shared" si="0"/>
        <v>0.57350000000000001</v>
      </c>
      <c r="I13" s="10">
        <v>0.111</v>
      </c>
      <c r="J13" s="10">
        <v>1.7000000000000001E-2</v>
      </c>
      <c r="K13" s="10">
        <v>0.224</v>
      </c>
      <c r="L13" s="10">
        <v>0.8</v>
      </c>
      <c r="M13" s="10">
        <v>0.67300000000000004</v>
      </c>
    </row>
    <row r="14" spans="1:13" ht="15" customHeight="1" x14ac:dyDescent="0.2">
      <c r="A14" s="7" t="s">
        <v>27</v>
      </c>
      <c r="B14" s="7" t="s">
        <v>16</v>
      </c>
      <c r="C14" s="8">
        <v>3679.1</v>
      </c>
      <c r="D14" s="9">
        <v>20479</v>
      </c>
      <c r="E14" s="9">
        <v>21837</v>
      </c>
      <c r="F14" s="10">
        <v>0.747</v>
      </c>
      <c r="G14" s="10">
        <v>0.72199999999999998</v>
      </c>
      <c r="H14" s="10">
        <f t="shared" si="0"/>
        <v>0.73449999999999993</v>
      </c>
      <c r="I14" s="10">
        <v>7.8E-2</v>
      </c>
      <c r="J14" s="10">
        <v>7.0000000000000001E-3</v>
      </c>
      <c r="K14" s="10">
        <v>0.183</v>
      </c>
      <c r="L14" s="10">
        <v>0.85699999999999998</v>
      </c>
      <c r="M14" s="10">
        <v>0.749</v>
      </c>
    </row>
    <row r="15" spans="1:13" ht="15" customHeight="1" x14ac:dyDescent="0.2">
      <c r="A15" s="7" t="s">
        <v>28</v>
      </c>
      <c r="B15" s="7" t="s">
        <v>16</v>
      </c>
      <c r="C15" s="8">
        <v>1322.4</v>
      </c>
      <c r="D15" s="9">
        <v>17567</v>
      </c>
      <c r="E15" s="9">
        <v>18892</v>
      </c>
      <c r="F15" s="10">
        <v>0.33400000000000002</v>
      </c>
      <c r="G15" s="10">
        <v>0.38800000000000001</v>
      </c>
      <c r="H15" s="10">
        <f t="shared" si="0"/>
        <v>0.36099999999999999</v>
      </c>
      <c r="I15" s="10">
        <v>0.438</v>
      </c>
      <c r="J15" s="10">
        <v>8.7999999999999995E-2</v>
      </c>
      <c r="K15" s="10">
        <v>0.22</v>
      </c>
      <c r="L15" s="10">
        <v>0.40899999999999997</v>
      </c>
      <c r="M15" s="10">
        <v>0.25700000000000001</v>
      </c>
    </row>
    <row r="16" spans="1:13" ht="15" customHeight="1" x14ac:dyDescent="0.2">
      <c r="A16" s="7" t="s">
        <v>29</v>
      </c>
      <c r="B16" s="7" t="s">
        <v>16</v>
      </c>
      <c r="C16" s="8">
        <v>752.3</v>
      </c>
      <c r="D16" s="9">
        <v>31139</v>
      </c>
      <c r="E16" s="9">
        <v>31821</v>
      </c>
      <c r="F16" s="10">
        <v>0.53800000000000003</v>
      </c>
      <c r="G16" s="10">
        <v>0.46100000000000002</v>
      </c>
      <c r="H16" s="10">
        <f t="shared" si="0"/>
        <v>0.49950000000000006</v>
      </c>
      <c r="I16" s="10">
        <v>0.33400000000000002</v>
      </c>
      <c r="J16" s="10">
        <v>1.6E-2</v>
      </c>
      <c r="K16" s="10">
        <v>0.218</v>
      </c>
      <c r="L16" s="10">
        <v>0.57799999999999996</v>
      </c>
      <c r="M16" s="10">
        <v>0.50800000000000001</v>
      </c>
    </row>
    <row r="17" spans="1:13" ht="15" customHeight="1" x14ac:dyDescent="0.2">
      <c r="A17" s="7" t="s">
        <v>30</v>
      </c>
      <c r="B17" s="7" t="s">
        <v>25</v>
      </c>
      <c r="C17" s="8">
        <v>1282</v>
      </c>
      <c r="D17" s="9">
        <v>12021</v>
      </c>
      <c r="E17" s="9">
        <v>15662</v>
      </c>
      <c r="F17" s="10">
        <v>0.41799999999999998</v>
      </c>
      <c r="G17" s="10">
        <v>0.48199999999999998</v>
      </c>
      <c r="H17" s="10">
        <f t="shared" si="0"/>
        <v>0.44999999999999996</v>
      </c>
      <c r="I17" s="10">
        <v>0.24</v>
      </c>
      <c r="J17" s="10">
        <v>5.3999999999999999E-2</v>
      </c>
      <c r="K17" s="10">
        <v>0.224</v>
      </c>
      <c r="L17" s="10">
        <v>0</v>
      </c>
      <c r="M17" s="10">
        <v>0</v>
      </c>
    </row>
    <row r="18" spans="1:13" ht="15" customHeight="1" x14ac:dyDescent="0.2">
      <c r="A18" s="7" t="s">
        <v>31</v>
      </c>
      <c r="B18" s="7" t="s">
        <v>16</v>
      </c>
      <c r="C18" s="8">
        <v>3668.6</v>
      </c>
      <c r="D18" s="9">
        <v>19487</v>
      </c>
      <c r="E18" s="9">
        <v>20294</v>
      </c>
      <c r="F18" s="10">
        <v>0.51900000000000002</v>
      </c>
      <c r="G18" s="10">
        <v>0.58699999999999997</v>
      </c>
      <c r="H18" s="10">
        <f t="shared" si="0"/>
        <v>0.55299999999999994</v>
      </c>
      <c r="I18" s="10">
        <v>0.188</v>
      </c>
      <c r="J18" s="10">
        <v>2.8000000000000001E-2</v>
      </c>
      <c r="K18" s="10">
        <v>0.20200000000000001</v>
      </c>
      <c r="L18" s="10">
        <v>0.76300000000000001</v>
      </c>
      <c r="M18" s="10">
        <v>0.63</v>
      </c>
    </row>
    <row r="19" spans="1:13" ht="15" customHeight="1" x14ac:dyDescent="0.2">
      <c r="A19" s="7" t="s">
        <v>32</v>
      </c>
      <c r="B19" s="7" t="s">
        <v>16</v>
      </c>
      <c r="C19" s="8">
        <v>2983.6</v>
      </c>
      <c r="D19" s="9">
        <v>19536</v>
      </c>
      <c r="E19" s="9">
        <v>20064</v>
      </c>
      <c r="F19" s="10">
        <v>0.35099999999999998</v>
      </c>
      <c r="G19" s="10">
        <v>0.38200000000000001</v>
      </c>
      <c r="H19" s="10">
        <f t="shared" si="0"/>
        <v>0.36649999999999999</v>
      </c>
      <c r="I19" s="10">
        <v>0.40699999999999997</v>
      </c>
      <c r="J19" s="10">
        <v>3.4000000000000002E-2</v>
      </c>
      <c r="K19" s="10">
        <v>0.19400000000000001</v>
      </c>
      <c r="L19" s="10">
        <v>0.48499999999999999</v>
      </c>
      <c r="M19" s="10">
        <v>0.49199999999999999</v>
      </c>
    </row>
    <row r="20" spans="1:13" ht="15" customHeight="1" x14ac:dyDescent="0.2">
      <c r="A20" s="7" t="s">
        <v>33</v>
      </c>
      <c r="B20" s="7" t="s">
        <v>16</v>
      </c>
      <c r="C20" s="8">
        <v>2150.6</v>
      </c>
      <c r="D20" s="9">
        <v>19525</v>
      </c>
      <c r="E20" s="9">
        <v>21154</v>
      </c>
      <c r="F20" s="10">
        <v>0.629</v>
      </c>
      <c r="G20" s="10">
        <v>0.71</v>
      </c>
      <c r="H20" s="10">
        <f t="shared" si="0"/>
        <v>0.66949999999999998</v>
      </c>
      <c r="I20" s="10">
        <v>5.8000000000000003E-2</v>
      </c>
      <c r="J20" s="10">
        <v>4.0000000000000001E-3</v>
      </c>
      <c r="K20" s="10">
        <v>0.16200000000000001</v>
      </c>
      <c r="L20" s="10">
        <v>0.83499999999999996</v>
      </c>
      <c r="M20" s="10">
        <v>0.86499999999999999</v>
      </c>
    </row>
    <row r="21" spans="1:13" ht="15" customHeight="1" x14ac:dyDescent="0.2">
      <c r="A21" s="7" t="s">
        <v>34</v>
      </c>
      <c r="B21" s="7" t="s">
        <v>16</v>
      </c>
      <c r="C21" s="8">
        <v>2425.9</v>
      </c>
      <c r="D21" s="9">
        <v>18911</v>
      </c>
      <c r="E21" s="9">
        <v>20481</v>
      </c>
      <c r="F21" s="10">
        <v>0.42699999999999999</v>
      </c>
      <c r="G21" s="10">
        <v>0.59</v>
      </c>
      <c r="H21" s="10">
        <f t="shared" si="0"/>
        <v>0.50849999999999995</v>
      </c>
      <c r="I21" s="10">
        <v>0.18</v>
      </c>
      <c r="J21" s="10">
        <v>0.02</v>
      </c>
      <c r="K21" s="10">
        <v>0.188</v>
      </c>
      <c r="L21" s="10">
        <v>0.71199999999999997</v>
      </c>
      <c r="M21" s="10">
        <v>0.65</v>
      </c>
    </row>
    <row r="22" spans="1:13" ht="15" customHeight="1" x14ac:dyDescent="0.2">
      <c r="A22" s="7" t="s">
        <v>35</v>
      </c>
      <c r="B22" s="7" t="s">
        <v>16</v>
      </c>
      <c r="C22" s="8">
        <v>7011</v>
      </c>
      <c r="D22" s="9">
        <v>22128</v>
      </c>
      <c r="E22" s="9">
        <v>22854</v>
      </c>
      <c r="F22" s="10">
        <v>0.442</v>
      </c>
      <c r="G22" s="10">
        <v>0.39200000000000002</v>
      </c>
      <c r="H22" s="10">
        <f t="shared" si="0"/>
        <v>0.41700000000000004</v>
      </c>
      <c r="I22" s="10">
        <v>0.315</v>
      </c>
      <c r="J22" s="10">
        <v>5.6000000000000001E-2</v>
      </c>
      <c r="K22" s="10">
        <v>0.219</v>
      </c>
      <c r="L22" s="10">
        <v>0.50800000000000001</v>
      </c>
      <c r="M22" s="10">
        <v>0.34799999999999998</v>
      </c>
    </row>
    <row r="23" spans="1:13" ht="15" customHeight="1" x14ac:dyDescent="0.2">
      <c r="A23" s="7" t="s">
        <v>36</v>
      </c>
      <c r="B23" s="7" t="s">
        <v>16</v>
      </c>
      <c r="C23" s="8">
        <v>9787.7000000000007</v>
      </c>
      <c r="D23" s="9">
        <v>20257</v>
      </c>
      <c r="E23" s="9">
        <v>21835</v>
      </c>
      <c r="F23" s="10">
        <v>0.434</v>
      </c>
      <c r="G23" s="10">
        <v>0.42099999999999999</v>
      </c>
      <c r="H23" s="10">
        <f t="shared" si="0"/>
        <v>0.42749999999999999</v>
      </c>
      <c r="I23" s="10">
        <v>0.47199999999999998</v>
      </c>
      <c r="J23" s="10">
        <v>0.17</v>
      </c>
      <c r="K23" s="10">
        <v>0.20899999999999999</v>
      </c>
      <c r="L23" s="10">
        <v>0.6</v>
      </c>
      <c r="M23" s="10">
        <v>0.52700000000000002</v>
      </c>
    </row>
    <row r="24" spans="1:13" ht="15" customHeight="1" x14ac:dyDescent="0.2">
      <c r="A24" s="7" t="s">
        <v>37</v>
      </c>
      <c r="B24" s="7" t="s">
        <v>16</v>
      </c>
      <c r="C24" s="8">
        <v>2138.6</v>
      </c>
      <c r="D24" s="9">
        <v>21153</v>
      </c>
      <c r="E24" s="9">
        <v>22421</v>
      </c>
      <c r="F24" s="10">
        <v>0.36899999999999999</v>
      </c>
      <c r="G24" s="10">
        <v>0.39300000000000002</v>
      </c>
      <c r="H24" s="10">
        <f t="shared" si="0"/>
        <v>0.38100000000000001</v>
      </c>
      <c r="I24" s="10">
        <v>0.47199999999999998</v>
      </c>
      <c r="J24" s="10">
        <v>0.113</v>
      </c>
      <c r="K24" s="10">
        <v>0.19800000000000001</v>
      </c>
      <c r="L24" s="10">
        <v>0.56299999999999994</v>
      </c>
      <c r="M24" s="10">
        <v>0.51600000000000001</v>
      </c>
    </row>
    <row r="25" spans="1:13" ht="15" customHeight="1" x14ac:dyDescent="0.2">
      <c r="A25" s="7" t="s">
        <v>38</v>
      </c>
      <c r="B25" s="7" t="s">
        <v>16</v>
      </c>
      <c r="C25" s="8">
        <v>2743.8</v>
      </c>
      <c r="D25" s="9">
        <v>20435</v>
      </c>
      <c r="E25" s="9">
        <v>21508</v>
      </c>
      <c r="F25" s="10">
        <v>0.57699999999999996</v>
      </c>
      <c r="G25" s="10">
        <v>0.61799999999999999</v>
      </c>
      <c r="H25" s="10">
        <f t="shared" si="0"/>
        <v>0.59749999999999992</v>
      </c>
      <c r="I25" s="10">
        <v>0.11799999999999999</v>
      </c>
      <c r="J25" s="10">
        <v>4.0000000000000001E-3</v>
      </c>
      <c r="K25" s="10">
        <v>0.185</v>
      </c>
      <c r="L25" s="10">
        <v>0.78400000000000003</v>
      </c>
      <c r="M25" s="10">
        <v>0.64200000000000002</v>
      </c>
    </row>
    <row r="26" spans="1:13" ht="15" customHeight="1" x14ac:dyDescent="0.2">
      <c r="A26" s="7" t="s">
        <v>39</v>
      </c>
      <c r="B26" s="7" t="s">
        <v>40</v>
      </c>
      <c r="C26" s="8">
        <v>1580.2</v>
      </c>
      <c r="D26" s="9">
        <v>22927</v>
      </c>
      <c r="E26" s="9">
        <v>22507</v>
      </c>
      <c r="F26" s="10">
        <v>0.40500000000000003</v>
      </c>
      <c r="G26" s="10">
        <v>0.39500000000000002</v>
      </c>
      <c r="H26" s="10">
        <f t="shared" si="0"/>
        <v>0.4</v>
      </c>
      <c r="I26" s="10">
        <v>0.22800000000000001</v>
      </c>
      <c r="J26" s="10">
        <v>2.8000000000000001E-2</v>
      </c>
      <c r="K26" s="10">
        <v>0.16700000000000001</v>
      </c>
      <c r="L26" s="10">
        <v>0.58799999999999997</v>
      </c>
      <c r="M26" s="10">
        <v>0.51600000000000001</v>
      </c>
    </row>
    <row r="27" spans="1:13" ht="15" customHeight="1" x14ac:dyDescent="0.2">
      <c r="A27" s="7" t="s">
        <v>41</v>
      </c>
      <c r="B27" s="7" t="s">
        <v>16</v>
      </c>
      <c r="C27" s="8">
        <v>5567.1</v>
      </c>
      <c r="D27" s="9">
        <v>19597</v>
      </c>
      <c r="E27" s="9">
        <v>20973</v>
      </c>
      <c r="F27" s="10">
        <v>0.40100000000000002</v>
      </c>
      <c r="G27" s="10">
        <v>0.38300000000000001</v>
      </c>
      <c r="H27" s="10">
        <f t="shared" si="0"/>
        <v>0.39200000000000002</v>
      </c>
      <c r="I27" s="10">
        <v>0.40500000000000003</v>
      </c>
      <c r="J27" s="10">
        <v>0.08</v>
      </c>
      <c r="K27" s="10">
        <v>0.22900000000000001</v>
      </c>
      <c r="L27" s="10">
        <v>0.63900000000000001</v>
      </c>
      <c r="M27" s="10">
        <v>0.41899999999999998</v>
      </c>
    </row>
    <row r="28" spans="1:13" ht="15" customHeight="1" x14ac:dyDescent="0.2">
      <c r="A28" s="11" t="s">
        <v>42</v>
      </c>
      <c r="B28" s="11" t="s">
        <v>19</v>
      </c>
      <c r="C28" s="12">
        <v>3455.3</v>
      </c>
      <c r="D28" s="13">
        <v>18079</v>
      </c>
      <c r="E28" s="13">
        <v>19094</v>
      </c>
      <c r="F28" s="14">
        <v>0.38900000000000001</v>
      </c>
      <c r="G28" s="14">
        <v>0.371</v>
      </c>
      <c r="H28" s="14">
        <f t="shared" si="0"/>
        <v>0.38</v>
      </c>
      <c r="I28" s="14">
        <v>0.30499999999999999</v>
      </c>
      <c r="J28" s="14">
        <v>6.3E-2</v>
      </c>
      <c r="K28" s="14">
        <v>0.16500000000000001</v>
      </c>
      <c r="L28" s="14">
        <v>0.53200000000000003</v>
      </c>
      <c r="M28" s="14">
        <v>0.443</v>
      </c>
    </row>
    <row r="29" spans="1:13" ht="15" customHeight="1" x14ac:dyDescent="0.2">
      <c r="A29" s="7" t="s">
        <v>43</v>
      </c>
      <c r="B29" s="7" t="s">
        <v>44</v>
      </c>
      <c r="C29" s="8">
        <v>545.4</v>
      </c>
      <c r="D29" s="9">
        <v>26355</v>
      </c>
      <c r="E29" s="9">
        <v>26254</v>
      </c>
      <c r="F29" s="10">
        <v>0</v>
      </c>
      <c r="G29" s="10">
        <v>0</v>
      </c>
      <c r="H29" s="10">
        <f t="shared" si="0"/>
        <v>0</v>
      </c>
      <c r="I29" s="10">
        <v>0.217</v>
      </c>
      <c r="J29" s="10">
        <v>0</v>
      </c>
      <c r="K29" s="10">
        <v>0.20899999999999999</v>
      </c>
      <c r="L29" s="10">
        <v>0.45900000000000002</v>
      </c>
      <c r="M29" s="10">
        <v>0.46300000000000002</v>
      </c>
    </row>
    <row r="30" spans="1:13" ht="15" customHeight="1" x14ac:dyDescent="0.2">
      <c r="A30" s="7" t="s">
        <v>45</v>
      </c>
      <c r="B30" s="7" t="s">
        <v>44</v>
      </c>
      <c r="C30" s="8">
        <v>659.9</v>
      </c>
      <c r="D30" s="9">
        <v>30021</v>
      </c>
      <c r="E30" s="9">
        <v>30021</v>
      </c>
      <c r="F30" s="10">
        <v>0</v>
      </c>
      <c r="G30" s="10">
        <v>0</v>
      </c>
      <c r="H30" s="10">
        <f t="shared" si="0"/>
        <v>0</v>
      </c>
      <c r="I30" s="10">
        <v>0.28499999999999998</v>
      </c>
      <c r="J30" s="10">
        <v>8.0000000000000002E-3</v>
      </c>
      <c r="K30" s="10">
        <v>0.27700000000000002</v>
      </c>
      <c r="L30" s="10">
        <v>0.64500000000000002</v>
      </c>
      <c r="M30" s="10">
        <v>0.56599999999999995</v>
      </c>
    </row>
    <row r="31" spans="1:13" ht="15" customHeight="1" x14ac:dyDescent="0.2">
      <c r="A31" s="15" t="s">
        <v>46</v>
      </c>
      <c r="B31" s="15" t="s">
        <v>47</v>
      </c>
      <c r="C31" s="16">
        <v>867936.7</v>
      </c>
      <c r="D31" s="17">
        <v>22408</v>
      </c>
      <c r="E31" s="17">
        <v>23159</v>
      </c>
      <c r="F31" s="18">
        <v>0.39</v>
      </c>
      <c r="G31" s="18">
        <v>0.41</v>
      </c>
      <c r="H31" s="18">
        <f t="shared" si="0"/>
        <v>0.4</v>
      </c>
      <c r="I31" s="18">
        <v>0.42199999999999999</v>
      </c>
      <c r="J31" s="18">
        <v>0.13100000000000001</v>
      </c>
      <c r="K31" s="18">
        <v>0.20200000000000001</v>
      </c>
      <c r="L31" s="18">
        <v>0.56999999999999995</v>
      </c>
      <c r="M31" s="18">
        <v>0.48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3" width="11" customWidth="1"/>
    <col min="4" max="7" width="12" customWidth="1"/>
    <col min="8" max="9" width="11" customWidth="1"/>
    <col min="10" max="11" width="9" customWidth="1"/>
    <col min="12" max="13" width="12" customWidth="1"/>
  </cols>
  <sheetData>
    <row r="1" spans="1:13" ht="15.75" customHeight="1" x14ac:dyDescent="0.2">
      <c r="A1" s="4" t="s">
        <v>48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5" customHeight="1" x14ac:dyDescent="0.2">
      <c r="A2" s="3" t="s">
        <v>49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4" spans="1:13" ht="30" customHeight="1" x14ac:dyDescent="0.2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</row>
    <row r="5" spans="1:13" ht="15" customHeight="1" x14ac:dyDescent="0.2">
      <c r="A5" s="7" t="s">
        <v>15</v>
      </c>
      <c r="B5" s="7" t="s">
        <v>16</v>
      </c>
      <c r="C5" s="8">
        <v>2143.5</v>
      </c>
      <c r="D5" s="9">
        <v>16610</v>
      </c>
      <c r="E5" s="9">
        <v>17890</v>
      </c>
      <c r="F5" s="10">
        <v>0.47899999999999998</v>
      </c>
      <c r="G5" s="10">
        <v>0.43</v>
      </c>
      <c r="H5" s="10">
        <f t="shared" ref="H5:H31" si="0">IFERROR(AVERAGE(F5,G5),"")</f>
        <v>0.45450000000000002</v>
      </c>
      <c r="I5" s="10">
        <v>0.34399999999999997</v>
      </c>
      <c r="J5" s="10">
        <v>0.11</v>
      </c>
      <c r="K5" s="10">
        <v>0.17799999999999999</v>
      </c>
      <c r="L5" s="10">
        <v>0.51600000000000001</v>
      </c>
      <c r="M5" s="10">
        <v>0.36799999999999999</v>
      </c>
    </row>
    <row r="6" spans="1:13" ht="15" customHeight="1" x14ac:dyDescent="0.2">
      <c r="A6" s="7" t="s">
        <v>17</v>
      </c>
      <c r="B6" s="7" t="s">
        <v>16</v>
      </c>
      <c r="C6" s="8">
        <v>5376.6</v>
      </c>
      <c r="D6" s="9">
        <v>17739</v>
      </c>
      <c r="E6" s="9">
        <v>19048</v>
      </c>
      <c r="F6" s="10">
        <v>0.52100000000000002</v>
      </c>
      <c r="G6" s="10">
        <v>0.55600000000000005</v>
      </c>
      <c r="H6" s="10">
        <f t="shared" si="0"/>
        <v>0.53849999999999998</v>
      </c>
      <c r="I6" s="10">
        <v>0.27</v>
      </c>
      <c r="J6" s="10">
        <v>7.5999999999999998E-2</v>
      </c>
      <c r="K6" s="10">
        <v>0.216</v>
      </c>
      <c r="L6" s="10">
        <v>0.70699999999999996</v>
      </c>
      <c r="M6" s="10">
        <v>0.71699999999999997</v>
      </c>
    </row>
    <row r="7" spans="1:13" ht="15" customHeight="1" x14ac:dyDescent="0.2">
      <c r="A7" s="7" t="s">
        <v>18</v>
      </c>
      <c r="B7" s="7" t="s">
        <v>19</v>
      </c>
      <c r="C7" s="8">
        <v>5508.8</v>
      </c>
      <c r="D7" s="9">
        <v>15642</v>
      </c>
      <c r="E7" s="9">
        <v>16122</v>
      </c>
      <c r="F7" s="10">
        <v>0.39600000000000002</v>
      </c>
      <c r="G7" s="10">
        <v>0.438</v>
      </c>
      <c r="H7" s="10">
        <f t="shared" si="0"/>
        <v>0.41700000000000004</v>
      </c>
      <c r="I7" s="10">
        <v>0.26400000000000001</v>
      </c>
      <c r="J7" s="10">
        <v>2.8000000000000001E-2</v>
      </c>
      <c r="K7" s="10">
        <v>0.191</v>
      </c>
      <c r="L7" s="10">
        <v>0.54900000000000004</v>
      </c>
      <c r="M7" s="10">
        <v>0.54200000000000004</v>
      </c>
    </row>
    <row r="8" spans="1:13" ht="15" customHeight="1" x14ac:dyDescent="0.2">
      <c r="A8" s="7" t="s">
        <v>20</v>
      </c>
      <c r="B8" s="7" t="s">
        <v>16</v>
      </c>
      <c r="C8" s="8">
        <v>1545</v>
      </c>
      <c r="D8" s="9">
        <v>18506</v>
      </c>
      <c r="E8" s="9">
        <v>19248</v>
      </c>
      <c r="F8" s="10">
        <v>0.29099999999999998</v>
      </c>
      <c r="G8" s="10">
        <v>0.31</v>
      </c>
      <c r="H8" s="10">
        <f t="shared" si="0"/>
        <v>0.30049999999999999</v>
      </c>
      <c r="I8" s="10">
        <v>0.31</v>
      </c>
      <c r="J8" s="10">
        <v>2.1999999999999999E-2</v>
      </c>
      <c r="K8" s="10">
        <v>0.189</v>
      </c>
      <c r="L8" s="10">
        <v>0.52</v>
      </c>
      <c r="M8" s="10">
        <v>0.40799999999999997</v>
      </c>
    </row>
    <row r="9" spans="1:13" ht="15" customHeight="1" x14ac:dyDescent="0.2">
      <c r="A9" s="7" t="s">
        <v>21</v>
      </c>
      <c r="B9" s="7" t="s">
        <v>16</v>
      </c>
      <c r="C9" s="8">
        <v>1405.9</v>
      </c>
      <c r="D9" s="9">
        <v>21828</v>
      </c>
      <c r="E9" s="9">
        <v>23212</v>
      </c>
      <c r="F9" s="10">
        <v>0.70399999999999996</v>
      </c>
      <c r="G9" s="10">
        <v>0.70199999999999996</v>
      </c>
      <c r="H9" s="10">
        <f t="shared" si="0"/>
        <v>0.70299999999999996</v>
      </c>
      <c r="I9" s="10">
        <v>6.8000000000000005E-2</v>
      </c>
      <c r="J9" s="10">
        <v>0</v>
      </c>
      <c r="K9" s="10">
        <v>0.159</v>
      </c>
      <c r="L9" s="10">
        <v>0.88700000000000001</v>
      </c>
      <c r="M9" s="10">
        <v>0.84799999999999998</v>
      </c>
    </row>
    <row r="10" spans="1:13" ht="15" customHeight="1" x14ac:dyDescent="0.2">
      <c r="A10" s="7" t="s">
        <v>22</v>
      </c>
      <c r="B10" s="7" t="s">
        <v>16</v>
      </c>
      <c r="C10" s="8">
        <v>2789.1</v>
      </c>
      <c r="D10" s="9">
        <v>19290</v>
      </c>
      <c r="E10" s="9">
        <v>19876</v>
      </c>
      <c r="F10" s="10">
        <v>0.67700000000000005</v>
      </c>
      <c r="G10" s="10">
        <v>0.60199999999999998</v>
      </c>
      <c r="H10" s="10">
        <f t="shared" si="0"/>
        <v>0.63949999999999996</v>
      </c>
      <c r="I10" s="10">
        <v>7.8E-2</v>
      </c>
      <c r="J10" s="10">
        <v>6.0000000000000001E-3</v>
      </c>
      <c r="K10" s="10">
        <v>0.112</v>
      </c>
      <c r="L10" s="10">
        <v>0.88300000000000001</v>
      </c>
      <c r="M10" s="10">
        <v>0.86299999999999999</v>
      </c>
    </row>
    <row r="11" spans="1:13" ht="15" customHeight="1" x14ac:dyDescent="0.2">
      <c r="A11" s="7" t="s">
        <v>23</v>
      </c>
      <c r="B11" s="7" t="s">
        <v>16</v>
      </c>
      <c r="C11" s="8">
        <v>2050.9</v>
      </c>
      <c r="D11" s="9">
        <v>16276</v>
      </c>
      <c r="E11" s="9">
        <v>16840</v>
      </c>
      <c r="F11" s="10">
        <v>0.45900000000000002</v>
      </c>
      <c r="G11" s="10">
        <v>0.40200000000000002</v>
      </c>
      <c r="H11" s="10">
        <f t="shared" si="0"/>
        <v>0.43049999999999999</v>
      </c>
      <c r="I11" s="10">
        <v>0.27800000000000002</v>
      </c>
      <c r="J11" s="10">
        <v>2.5999999999999999E-2</v>
      </c>
      <c r="K11" s="10">
        <v>0.183</v>
      </c>
      <c r="L11" s="10">
        <v>0.48</v>
      </c>
      <c r="M11" s="10">
        <v>0.35499999999999998</v>
      </c>
    </row>
    <row r="12" spans="1:13" ht="15" customHeight="1" x14ac:dyDescent="0.2">
      <c r="A12" s="7" t="s">
        <v>24</v>
      </c>
      <c r="B12" s="7" t="s">
        <v>25</v>
      </c>
      <c r="C12" s="8">
        <v>563.20000000000005</v>
      </c>
      <c r="D12" s="9">
        <v>14046</v>
      </c>
      <c r="E12" s="9">
        <v>17443</v>
      </c>
      <c r="F12" s="10">
        <v>0.53900000000000003</v>
      </c>
      <c r="G12" s="10">
        <v>0.48699999999999999</v>
      </c>
      <c r="H12" s="10">
        <f t="shared" si="0"/>
        <v>0.51300000000000001</v>
      </c>
      <c r="I12" s="10">
        <v>0.25700000000000001</v>
      </c>
      <c r="J12" s="10">
        <v>8.9999999999999993E-3</v>
      </c>
      <c r="K12" s="10">
        <v>0.188</v>
      </c>
      <c r="L12" s="10">
        <v>0.5</v>
      </c>
      <c r="M12" s="10">
        <v>0</v>
      </c>
    </row>
    <row r="13" spans="1:13" ht="15" customHeight="1" x14ac:dyDescent="0.2">
      <c r="A13" s="7" t="s">
        <v>26</v>
      </c>
      <c r="B13" s="7" t="s">
        <v>16</v>
      </c>
      <c r="C13" s="8">
        <v>2598.1</v>
      </c>
      <c r="D13" s="9">
        <v>17167</v>
      </c>
      <c r="E13" s="9">
        <v>18184</v>
      </c>
      <c r="F13" s="10">
        <v>0.58399999999999996</v>
      </c>
      <c r="G13" s="10">
        <v>0.57899999999999996</v>
      </c>
      <c r="H13" s="10">
        <f t="shared" si="0"/>
        <v>0.58149999999999991</v>
      </c>
      <c r="I13" s="10">
        <v>0.109</v>
      </c>
      <c r="J13" s="10">
        <v>1.2999999999999999E-2</v>
      </c>
      <c r="K13" s="10">
        <v>0.215</v>
      </c>
      <c r="L13" s="10">
        <v>0.73499999999999999</v>
      </c>
      <c r="M13" s="10">
        <v>0.66700000000000004</v>
      </c>
    </row>
    <row r="14" spans="1:13" ht="15" customHeight="1" x14ac:dyDescent="0.2">
      <c r="A14" s="7" t="s">
        <v>27</v>
      </c>
      <c r="B14" s="7" t="s">
        <v>16</v>
      </c>
      <c r="C14" s="8">
        <v>3785.5</v>
      </c>
      <c r="D14" s="9">
        <v>20124</v>
      </c>
      <c r="E14" s="9">
        <v>21102</v>
      </c>
      <c r="F14" s="10">
        <v>0.74399999999999999</v>
      </c>
      <c r="G14" s="10">
        <v>0.71099999999999997</v>
      </c>
      <c r="H14" s="10">
        <f t="shared" si="0"/>
        <v>0.72750000000000004</v>
      </c>
      <c r="I14" s="10">
        <v>7.1999999999999995E-2</v>
      </c>
      <c r="J14" s="10">
        <v>6.0000000000000001E-3</v>
      </c>
      <c r="K14" s="10">
        <v>0.16500000000000001</v>
      </c>
      <c r="L14" s="10">
        <v>0.86699999999999999</v>
      </c>
      <c r="M14" s="10">
        <v>0.81699999999999995</v>
      </c>
    </row>
    <row r="15" spans="1:13" ht="15" customHeight="1" x14ac:dyDescent="0.2">
      <c r="A15" s="7" t="s">
        <v>28</v>
      </c>
      <c r="B15" s="7" t="s">
        <v>16</v>
      </c>
      <c r="C15" s="8">
        <v>1325.2</v>
      </c>
      <c r="D15" s="9">
        <v>16711</v>
      </c>
      <c r="E15" s="9">
        <v>17813</v>
      </c>
      <c r="F15" s="10">
        <v>0.377</v>
      </c>
      <c r="G15" s="10">
        <v>0.372</v>
      </c>
      <c r="H15" s="10">
        <f t="shared" si="0"/>
        <v>0.3745</v>
      </c>
      <c r="I15" s="10">
        <v>0.44</v>
      </c>
      <c r="J15" s="10">
        <v>7.0999999999999994E-2</v>
      </c>
      <c r="K15" s="10">
        <v>0.20899999999999999</v>
      </c>
      <c r="L15" s="10">
        <v>0.56899999999999995</v>
      </c>
      <c r="M15" s="10">
        <v>0.41099999999999998</v>
      </c>
    </row>
    <row r="16" spans="1:13" ht="15" customHeight="1" x14ac:dyDescent="0.2">
      <c r="A16" s="7" t="s">
        <v>29</v>
      </c>
      <c r="B16" s="7" t="s">
        <v>16</v>
      </c>
      <c r="C16" s="8">
        <v>767.5</v>
      </c>
      <c r="D16" s="9">
        <v>28867</v>
      </c>
      <c r="E16" s="9">
        <v>29614</v>
      </c>
      <c r="F16" s="10">
        <v>0.46899999999999997</v>
      </c>
      <c r="G16" s="10">
        <v>0.44500000000000001</v>
      </c>
      <c r="H16" s="10">
        <f t="shared" si="0"/>
        <v>0.45699999999999996</v>
      </c>
      <c r="I16" s="10">
        <v>0.33200000000000002</v>
      </c>
      <c r="J16" s="10">
        <v>1.2E-2</v>
      </c>
      <c r="K16" s="10">
        <v>0.222</v>
      </c>
      <c r="L16" s="10">
        <v>0.69399999999999995</v>
      </c>
      <c r="M16" s="10">
        <v>0.60899999999999999</v>
      </c>
    </row>
    <row r="17" spans="1:13" ht="15" customHeight="1" x14ac:dyDescent="0.2">
      <c r="A17" s="7" t="s">
        <v>30</v>
      </c>
      <c r="B17" s="7" t="s">
        <v>25</v>
      </c>
      <c r="C17" s="8">
        <v>1251.7</v>
      </c>
      <c r="D17" s="9">
        <v>11874</v>
      </c>
      <c r="E17" s="9">
        <v>15084</v>
      </c>
      <c r="F17" s="10">
        <v>0.45200000000000001</v>
      </c>
      <c r="G17" s="10">
        <v>0.47799999999999998</v>
      </c>
      <c r="H17" s="10">
        <f t="shared" si="0"/>
        <v>0.46499999999999997</v>
      </c>
      <c r="I17" s="10">
        <v>0.23200000000000001</v>
      </c>
      <c r="J17" s="10">
        <v>4.4999999999999998E-2</v>
      </c>
      <c r="K17" s="10">
        <v>0.22900000000000001</v>
      </c>
      <c r="L17" s="10">
        <v>0</v>
      </c>
      <c r="M17" s="10">
        <v>0</v>
      </c>
    </row>
    <row r="18" spans="1:13" ht="15" customHeight="1" x14ac:dyDescent="0.2">
      <c r="A18" s="7" t="s">
        <v>31</v>
      </c>
      <c r="B18" s="7" t="s">
        <v>16</v>
      </c>
      <c r="C18" s="8">
        <v>3766.8</v>
      </c>
      <c r="D18" s="9">
        <v>17743</v>
      </c>
      <c r="E18" s="9">
        <v>18324</v>
      </c>
      <c r="F18" s="10">
        <v>0.57999999999999996</v>
      </c>
      <c r="G18" s="10">
        <v>0.57799999999999996</v>
      </c>
      <c r="H18" s="10">
        <f t="shared" si="0"/>
        <v>0.57899999999999996</v>
      </c>
      <c r="I18" s="10">
        <v>0.184</v>
      </c>
      <c r="J18" s="10">
        <v>2.3E-2</v>
      </c>
      <c r="K18" s="10">
        <v>0.19900000000000001</v>
      </c>
      <c r="L18" s="10">
        <v>0.76200000000000001</v>
      </c>
      <c r="M18" s="10">
        <v>0.69</v>
      </c>
    </row>
    <row r="19" spans="1:13" ht="15" customHeight="1" x14ac:dyDescent="0.2">
      <c r="A19" s="7" t="s">
        <v>32</v>
      </c>
      <c r="B19" s="7" t="s">
        <v>16</v>
      </c>
      <c r="C19" s="8">
        <v>3029.9</v>
      </c>
      <c r="D19" s="9">
        <v>18721</v>
      </c>
      <c r="E19" s="9">
        <v>19165</v>
      </c>
      <c r="F19" s="10">
        <v>0.35699999999999998</v>
      </c>
      <c r="G19" s="10">
        <v>0.375</v>
      </c>
      <c r="H19" s="10">
        <f t="shared" si="0"/>
        <v>0.36599999999999999</v>
      </c>
      <c r="I19" s="10">
        <v>0.39800000000000002</v>
      </c>
      <c r="J19" s="10">
        <v>2.3E-2</v>
      </c>
      <c r="K19" s="10">
        <v>0.189</v>
      </c>
      <c r="L19" s="10">
        <v>0.51900000000000002</v>
      </c>
      <c r="M19" s="10">
        <v>0.42</v>
      </c>
    </row>
    <row r="20" spans="1:13" ht="15" customHeight="1" x14ac:dyDescent="0.2">
      <c r="A20" s="7" t="s">
        <v>33</v>
      </c>
      <c r="B20" s="7" t="s">
        <v>16</v>
      </c>
      <c r="C20" s="8">
        <v>2140.6999999999998</v>
      </c>
      <c r="D20" s="9">
        <v>18616</v>
      </c>
      <c r="E20" s="9">
        <v>20002</v>
      </c>
      <c r="F20" s="10">
        <v>0.66400000000000003</v>
      </c>
      <c r="G20" s="10">
        <v>0.66400000000000003</v>
      </c>
      <c r="H20" s="10">
        <f t="shared" si="0"/>
        <v>0.66400000000000003</v>
      </c>
      <c r="I20" s="10">
        <v>0.06</v>
      </c>
      <c r="J20" s="10">
        <v>4.0000000000000001E-3</v>
      </c>
      <c r="K20" s="10">
        <v>0.156</v>
      </c>
      <c r="L20" s="10">
        <v>0.82399999999999995</v>
      </c>
      <c r="M20" s="10">
        <v>0.82599999999999996</v>
      </c>
    </row>
    <row r="21" spans="1:13" ht="15" customHeight="1" x14ac:dyDescent="0.2">
      <c r="A21" s="7" t="s">
        <v>34</v>
      </c>
      <c r="B21" s="7" t="s">
        <v>16</v>
      </c>
      <c r="C21" s="8">
        <v>2508.4</v>
      </c>
      <c r="D21" s="9">
        <v>17795</v>
      </c>
      <c r="E21" s="9">
        <v>18929</v>
      </c>
      <c r="F21" s="10">
        <v>0.48799999999999999</v>
      </c>
      <c r="G21" s="10">
        <v>0.57999999999999996</v>
      </c>
      <c r="H21" s="10">
        <f t="shared" si="0"/>
        <v>0.53400000000000003</v>
      </c>
      <c r="I21" s="10">
        <v>0.187</v>
      </c>
      <c r="J21" s="10">
        <v>1.9E-2</v>
      </c>
      <c r="K21" s="10">
        <v>0.17799999999999999</v>
      </c>
      <c r="L21" s="10">
        <v>0.73599999999999999</v>
      </c>
      <c r="M21" s="10">
        <v>0.63500000000000001</v>
      </c>
    </row>
    <row r="22" spans="1:13" ht="15" customHeight="1" x14ac:dyDescent="0.2">
      <c r="A22" s="7" t="s">
        <v>35</v>
      </c>
      <c r="B22" s="7" t="s">
        <v>16</v>
      </c>
      <c r="C22" s="8">
        <v>7064.7</v>
      </c>
      <c r="D22" s="9">
        <v>21495</v>
      </c>
      <c r="E22" s="9">
        <v>22105</v>
      </c>
      <c r="F22" s="10">
        <v>0.49</v>
      </c>
      <c r="G22" s="10">
        <v>0.42</v>
      </c>
      <c r="H22" s="10">
        <f t="shared" si="0"/>
        <v>0.45499999999999996</v>
      </c>
      <c r="I22" s="10">
        <v>0.32500000000000001</v>
      </c>
      <c r="J22" s="10">
        <v>4.9000000000000002E-2</v>
      </c>
      <c r="K22" s="10">
        <v>0.215</v>
      </c>
      <c r="L22" s="10">
        <v>0.63900000000000001</v>
      </c>
      <c r="M22" s="10">
        <v>0.44800000000000001</v>
      </c>
    </row>
    <row r="23" spans="1:13" ht="15" customHeight="1" x14ac:dyDescent="0.2">
      <c r="A23" s="7" t="s">
        <v>36</v>
      </c>
      <c r="B23" s="7" t="s">
        <v>16</v>
      </c>
      <c r="C23" s="8">
        <v>9701</v>
      </c>
      <c r="D23" s="9">
        <v>19120</v>
      </c>
      <c r="E23" s="9">
        <v>20848</v>
      </c>
      <c r="F23" s="10">
        <v>0.44800000000000001</v>
      </c>
      <c r="G23" s="10">
        <v>0.433</v>
      </c>
      <c r="H23" s="10">
        <f t="shared" si="0"/>
        <v>0.4405</v>
      </c>
      <c r="I23" s="10">
        <v>0.47799999999999998</v>
      </c>
      <c r="J23" s="10">
        <v>0.16400000000000001</v>
      </c>
      <c r="K23" s="10">
        <v>0.20499999999999999</v>
      </c>
      <c r="L23" s="10">
        <v>0.6</v>
      </c>
      <c r="M23" s="10">
        <v>0.56299999999999994</v>
      </c>
    </row>
    <row r="24" spans="1:13" ht="15" customHeight="1" x14ac:dyDescent="0.2">
      <c r="A24" s="7" t="s">
        <v>37</v>
      </c>
      <c r="B24" s="7" t="s">
        <v>16</v>
      </c>
      <c r="C24" s="8">
        <v>2158.3000000000002</v>
      </c>
      <c r="D24" s="9">
        <v>20125</v>
      </c>
      <c r="E24" s="9">
        <v>20656</v>
      </c>
      <c r="F24" s="10">
        <v>0.38900000000000001</v>
      </c>
      <c r="G24" s="10">
        <v>0.41799999999999998</v>
      </c>
      <c r="H24" s="10">
        <f t="shared" si="0"/>
        <v>0.40349999999999997</v>
      </c>
      <c r="I24" s="10">
        <v>0.47899999999999998</v>
      </c>
      <c r="J24" s="10">
        <v>0.111</v>
      </c>
      <c r="K24" s="10">
        <v>0.17599999999999999</v>
      </c>
      <c r="L24" s="10">
        <v>0.52500000000000002</v>
      </c>
      <c r="M24" s="10">
        <v>0.46700000000000003</v>
      </c>
    </row>
    <row r="25" spans="1:13" ht="15" customHeight="1" x14ac:dyDescent="0.2">
      <c r="A25" s="7" t="s">
        <v>38</v>
      </c>
      <c r="B25" s="7" t="s">
        <v>16</v>
      </c>
      <c r="C25" s="8">
        <v>2753</v>
      </c>
      <c r="D25" s="9">
        <v>19419</v>
      </c>
      <c r="E25" s="9">
        <v>20541</v>
      </c>
      <c r="F25" s="10">
        <v>0.63400000000000001</v>
      </c>
      <c r="G25" s="10">
        <v>0.61299999999999999</v>
      </c>
      <c r="H25" s="10">
        <f t="shared" si="0"/>
        <v>0.62349999999999994</v>
      </c>
      <c r="I25" s="10">
        <v>0.121</v>
      </c>
      <c r="J25" s="10">
        <v>5.0000000000000001E-3</v>
      </c>
      <c r="K25" s="10">
        <v>0.17399999999999999</v>
      </c>
      <c r="L25" s="10">
        <v>0.71799999999999997</v>
      </c>
      <c r="M25" s="10">
        <v>0.68100000000000005</v>
      </c>
    </row>
    <row r="26" spans="1:13" ht="15" customHeight="1" x14ac:dyDescent="0.2">
      <c r="A26" s="7" t="s">
        <v>39</v>
      </c>
      <c r="B26" s="7" t="s">
        <v>40</v>
      </c>
      <c r="C26" s="8">
        <v>1566.9</v>
      </c>
      <c r="D26" s="9">
        <v>22807</v>
      </c>
      <c r="E26" s="9">
        <v>22366</v>
      </c>
      <c r="F26" s="10">
        <v>0.46</v>
      </c>
      <c r="G26" s="10">
        <v>0.47</v>
      </c>
      <c r="H26" s="10">
        <f t="shared" si="0"/>
        <v>0.46499999999999997</v>
      </c>
      <c r="I26" s="10">
        <v>0.24</v>
      </c>
      <c r="J26" s="10">
        <v>1.7000000000000001E-2</v>
      </c>
      <c r="K26" s="10">
        <v>0.16600000000000001</v>
      </c>
      <c r="L26" s="10">
        <v>0.65300000000000002</v>
      </c>
      <c r="M26" s="10">
        <v>0.55700000000000005</v>
      </c>
    </row>
    <row r="27" spans="1:13" ht="15" customHeight="1" x14ac:dyDescent="0.2">
      <c r="A27" s="7" t="s">
        <v>41</v>
      </c>
      <c r="B27" s="7" t="s">
        <v>16</v>
      </c>
      <c r="C27" s="8">
        <v>5526.6</v>
      </c>
      <c r="D27" s="9">
        <v>18245</v>
      </c>
      <c r="E27" s="9">
        <v>19798</v>
      </c>
      <c r="F27" s="10">
        <v>0.40100000000000002</v>
      </c>
      <c r="G27" s="10">
        <v>0.376</v>
      </c>
      <c r="H27" s="10">
        <f t="shared" si="0"/>
        <v>0.38850000000000001</v>
      </c>
      <c r="I27" s="10">
        <v>0.41699999999999998</v>
      </c>
      <c r="J27" s="10">
        <v>8.2000000000000003E-2</v>
      </c>
      <c r="K27" s="10">
        <v>0.23</v>
      </c>
      <c r="L27" s="10">
        <v>0.56799999999999995</v>
      </c>
      <c r="M27" s="10">
        <v>0.40600000000000003</v>
      </c>
    </row>
    <row r="28" spans="1:13" ht="15" customHeight="1" x14ac:dyDescent="0.2">
      <c r="A28" s="11" t="s">
        <v>42</v>
      </c>
      <c r="B28" s="11" t="s">
        <v>19</v>
      </c>
      <c r="C28" s="12">
        <v>3506.3</v>
      </c>
      <c r="D28" s="13">
        <v>17232</v>
      </c>
      <c r="E28" s="13">
        <v>18197</v>
      </c>
      <c r="F28" s="14">
        <v>0.443</v>
      </c>
      <c r="G28" s="14">
        <v>0.41699999999999998</v>
      </c>
      <c r="H28" s="14">
        <f t="shared" si="0"/>
        <v>0.43</v>
      </c>
      <c r="I28" s="14">
        <v>0.29899999999999999</v>
      </c>
      <c r="J28" s="14">
        <v>4.7E-2</v>
      </c>
      <c r="K28" s="14">
        <v>0.17499999999999999</v>
      </c>
      <c r="L28" s="14">
        <v>0.57499999999999996</v>
      </c>
      <c r="M28" s="14">
        <v>0.47</v>
      </c>
    </row>
    <row r="29" spans="1:13" ht="15" customHeight="1" x14ac:dyDescent="0.2">
      <c r="A29" s="7" t="s">
        <v>43</v>
      </c>
      <c r="B29" s="7" t="s">
        <v>44</v>
      </c>
      <c r="C29" s="8">
        <v>549.70000000000005</v>
      </c>
      <c r="D29" s="9">
        <v>26131</v>
      </c>
      <c r="E29" s="9">
        <v>26049</v>
      </c>
      <c r="F29" s="10">
        <v>0</v>
      </c>
      <c r="G29" s="10">
        <v>0</v>
      </c>
      <c r="H29" s="10">
        <f t="shared" si="0"/>
        <v>0</v>
      </c>
      <c r="I29" s="10">
        <v>0.26200000000000001</v>
      </c>
      <c r="J29" s="10">
        <v>0</v>
      </c>
      <c r="K29" s="10">
        <v>0.21</v>
      </c>
      <c r="L29" s="10">
        <v>0.53600000000000003</v>
      </c>
      <c r="M29" s="10">
        <v>0.44900000000000001</v>
      </c>
    </row>
    <row r="30" spans="1:13" ht="15" customHeight="1" x14ac:dyDescent="0.2">
      <c r="A30" s="7" t="s">
        <v>45</v>
      </c>
      <c r="B30" s="7" t="s">
        <v>44</v>
      </c>
      <c r="C30" s="8">
        <v>640.6</v>
      </c>
      <c r="D30" s="9">
        <v>27437</v>
      </c>
      <c r="E30" s="9">
        <v>27437</v>
      </c>
      <c r="F30" s="10">
        <v>0</v>
      </c>
      <c r="G30" s="10">
        <v>0</v>
      </c>
      <c r="H30" s="10">
        <f t="shared" si="0"/>
        <v>0</v>
      </c>
      <c r="I30" s="10">
        <v>0.29299999999999998</v>
      </c>
      <c r="J30" s="10">
        <v>2E-3</v>
      </c>
      <c r="K30" s="10">
        <v>0.27300000000000002</v>
      </c>
      <c r="L30" s="10">
        <v>0.66100000000000003</v>
      </c>
      <c r="M30" s="10">
        <v>0.52400000000000002</v>
      </c>
    </row>
    <row r="31" spans="1:13" ht="15" customHeight="1" x14ac:dyDescent="0.2">
      <c r="A31" s="15" t="s">
        <v>46</v>
      </c>
      <c r="B31" s="15" t="s">
        <v>47</v>
      </c>
      <c r="C31" s="16">
        <v>865749.1</v>
      </c>
      <c r="D31" s="17">
        <v>21261</v>
      </c>
      <c r="E31" s="17">
        <v>21886</v>
      </c>
      <c r="F31" s="18">
        <v>0.42</v>
      </c>
      <c r="G31" s="18">
        <v>0.41</v>
      </c>
      <c r="H31" s="18">
        <f t="shared" si="0"/>
        <v>0.41499999999999998</v>
      </c>
      <c r="I31" s="18">
        <v>0.42299999999999999</v>
      </c>
      <c r="J31" s="18">
        <v>0.121</v>
      </c>
      <c r="K31" s="18">
        <v>0.19400000000000001</v>
      </c>
      <c r="L31" s="18">
        <v>0.57999999999999996</v>
      </c>
      <c r="M31" s="18">
        <v>0.5</v>
      </c>
    </row>
  </sheetData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1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K1"/>
    </sheetView>
  </sheetViews>
  <sheetFormatPr baseColWidth="10" defaultColWidth="8.6640625" defaultRowHeight="15" x14ac:dyDescent="0.2"/>
  <cols>
    <col min="1" max="1" width="22" customWidth="1"/>
    <col min="2" max="2" width="10" customWidth="1"/>
    <col min="3" max="4" width="13" customWidth="1"/>
    <col min="5" max="7" width="12" customWidth="1"/>
    <col min="8" max="8" width="14" customWidth="1"/>
    <col min="9" max="10" width="12" customWidth="1"/>
    <col min="11" max="11" width="14" customWidth="1"/>
  </cols>
  <sheetData>
    <row r="1" spans="1:11" ht="15.75" customHeight="1" x14ac:dyDescent="0.2">
      <c r="A1" s="4" t="s">
        <v>50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" customHeight="1" x14ac:dyDescent="0.2">
      <c r="A2" s="3" t="s">
        <v>51</v>
      </c>
      <c r="B2" s="3"/>
      <c r="C2" s="3"/>
      <c r="D2" s="3"/>
      <c r="E2" s="3"/>
      <c r="F2" s="3"/>
      <c r="G2" s="3"/>
      <c r="H2" s="3"/>
      <c r="I2" s="3"/>
      <c r="J2" s="3"/>
      <c r="K2" s="3"/>
    </row>
    <row r="4" spans="1:11" ht="30" customHeight="1" x14ac:dyDescent="0.2">
      <c r="A4" s="6" t="s">
        <v>2</v>
      </c>
      <c r="B4" s="6" t="s">
        <v>3</v>
      </c>
      <c r="C4" s="6" t="s">
        <v>52</v>
      </c>
      <c r="D4" s="6" t="s">
        <v>53</v>
      </c>
      <c r="E4" s="6" t="s">
        <v>54</v>
      </c>
      <c r="F4" s="6" t="s">
        <v>55</v>
      </c>
      <c r="G4" s="6" t="s">
        <v>56</v>
      </c>
      <c r="H4" s="6" t="s">
        <v>57</v>
      </c>
      <c r="I4" s="6" t="s">
        <v>58</v>
      </c>
      <c r="J4" s="6" t="s">
        <v>59</v>
      </c>
      <c r="K4" s="6" t="s">
        <v>60</v>
      </c>
    </row>
    <row r="5" spans="1:11" ht="15" customHeight="1" x14ac:dyDescent="0.2">
      <c r="A5" s="7" t="s">
        <v>15</v>
      </c>
      <c r="B5" s="7" t="s">
        <v>16</v>
      </c>
      <c r="C5" s="9">
        <f>'Data 2023'!D5</f>
        <v>16610</v>
      </c>
      <c r="D5" s="9">
        <f>'Data 2024'!D5</f>
        <v>17097</v>
      </c>
      <c r="E5" s="19">
        <f t="shared" ref="E5:E31" si="0">IFERROR((D5-C5)/C5,"")</f>
        <v>2.9319686935580975E-2</v>
      </c>
      <c r="F5" s="10">
        <f>'Data 2023'!H5</f>
        <v>0.45450000000000002</v>
      </c>
      <c r="G5" s="10">
        <f>'Data 2024'!H5</f>
        <v>0.41649999999999998</v>
      </c>
      <c r="H5" s="20">
        <f t="shared" ref="H5:H31" si="1">IFERROR(G5-F5,"")</f>
        <v>-3.8000000000000034E-2</v>
      </c>
      <c r="I5" s="10">
        <f>'Data 2023'!I5</f>
        <v>0.34399999999999997</v>
      </c>
      <c r="J5" s="10">
        <f>'Data 2024'!I5</f>
        <v>0.32500000000000001</v>
      </c>
      <c r="K5" s="20">
        <f t="shared" ref="K5:K31" si="2">IFERROR(J5-I5,"")</f>
        <v>-1.8999999999999961E-2</v>
      </c>
    </row>
    <row r="6" spans="1:11" ht="15" customHeight="1" x14ac:dyDescent="0.2">
      <c r="A6" s="7" t="s">
        <v>17</v>
      </c>
      <c r="B6" s="7" t="s">
        <v>16</v>
      </c>
      <c r="C6" s="9">
        <f>'Data 2023'!D6</f>
        <v>17739</v>
      </c>
      <c r="D6" s="9">
        <f>'Data 2024'!D6</f>
        <v>19549</v>
      </c>
      <c r="E6" s="19">
        <f t="shared" si="0"/>
        <v>0.10203506398331361</v>
      </c>
      <c r="F6" s="10">
        <f>'Data 2023'!H6</f>
        <v>0.53849999999999998</v>
      </c>
      <c r="G6" s="10">
        <f>'Data 2024'!H6</f>
        <v>0.52100000000000002</v>
      </c>
      <c r="H6" s="20">
        <f t="shared" si="1"/>
        <v>-1.749999999999996E-2</v>
      </c>
      <c r="I6" s="10">
        <f>'Data 2023'!I6</f>
        <v>0.27</v>
      </c>
      <c r="J6" s="10">
        <f>'Data 2024'!I6</f>
        <v>0.27600000000000002</v>
      </c>
      <c r="K6" s="20">
        <f t="shared" si="2"/>
        <v>6.0000000000000053E-3</v>
      </c>
    </row>
    <row r="7" spans="1:11" ht="15" customHeight="1" x14ac:dyDescent="0.2">
      <c r="A7" s="7" t="s">
        <v>18</v>
      </c>
      <c r="B7" s="7" t="s">
        <v>19</v>
      </c>
      <c r="C7" s="9">
        <f>'Data 2023'!D7</f>
        <v>15642</v>
      </c>
      <c r="D7" s="9">
        <f>'Data 2024'!D7</f>
        <v>16125</v>
      </c>
      <c r="E7" s="19">
        <f t="shared" si="0"/>
        <v>3.0878404296125816E-2</v>
      </c>
      <c r="F7" s="10">
        <f>'Data 2023'!H7</f>
        <v>0.41700000000000004</v>
      </c>
      <c r="G7" s="10">
        <f>'Data 2024'!H7</f>
        <v>0.40100000000000002</v>
      </c>
      <c r="H7" s="20">
        <f t="shared" si="1"/>
        <v>-1.6000000000000014E-2</v>
      </c>
      <c r="I7" s="10">
        <f>'Data 2023'!I7</f>
        <v>0.26400000000000001</v>
      </c>
      <c r="J7" s="10">
        <f>'Data 2024'!I7</f>
        <v>0.26400000000000001</v>
      </c>
      <c r="K7" s="20">
        <f t="shared" si="2"/>
        <v>0</v>
      </c>
    </row>
    <row r="8" spans="1:11" ht="15" customHeight="1" x14ac:dyDescent="0.2">
      <c r="A8" s="7" t="s">
        <v>20</v>
      </c>
      <c r="B8" s="7" t="s">
        <v>16</v>
      </c>
      <c r="C8" s="9">
        <f>'Data 2023'!D8</f>
        <v>18506</v>
      </c>
      <c r="D8" s="9">
        <f>'Data 2024'!D8</f>
        <v>19247</v>
      </c>
      <c r="E8" s="19">
        <f t="shared" si="0"/>
        <v>4.0041067761806978E-2</v>
      </c>
      <c r="F8" s="10">
        <f>'Data 2023'!H8</f>
        <v>0.30049999999999999</v>
      </c>
      <c r="G8" s="10">
        <f>'Data 2024'!H8</f>
        <v>0.309</v>
      </c>
      <c r="H8" s="20">
        <f t="shared" si="1"/>
        <v>8.5000000000000075E-3</v>
      </c>
      <c r="I8" s="10">
        <f>'Data 2023'!I8</f>
        <v>0.31</v>
      </c>
      <c r="J8" s="10">
        <f>'Data 2024'!I8</f>
        <v>0.29499999999999998</v>
      </c>
      <c r="K8" s="20">
        <f t="shared" si="2"/>
        <v>-1.5000000000000013E-2</v>
      </c>
    </row>
    <row r="9" spans="1:11" ht="15" customHeight="1" x14ac:dyDescent="0.2">
      <c r="A9" s="7" t="s">
        <v>21</v>
      </c>
      <c r="B9" s="7" t="s">
        <v>16</v>
      </c>
      <c r="C9" s="9">
        <f>'Data 2023'!D9</f>
        <v>21828</v>
      </c>
      <c r="D9" s="9">
        <f>'Data 2024'!D9</f>
        <v>22516</v>
      </c>
      <c r="E9" s="19">
        <f t="shared" si="0"/>
        <v>3.1519149715961148E-2</v>
      </c>
      <c r="F9" s="10">
        <f>'Data 2023'!H9</f>
        <v>0.70299999999999996</v>
      </c>
      <c r="G9" s="10">
        <f>'Data 2024'!H9</f>
        <v>0.67800000000000005</v>
      </c>
      <c r="H9" s="20">
        <f t="shared" si="1"/>
        <v>-2.4999999999999911E-2</v>
      </c>
      <c r="I9" s="10">
        <f>'Data 2023'!I9</f>
        <v>6.8000000000000005E-2</v>
      </c>
      <c r="J9" s="10">
        <f>'Data 2024'!I9</f>
        <v>6.3E-2</v>
      </c>
      <c r="K9" s="20">
        <f t="shared" si="2"/>
        <v>-5.0000000000000044E-3</v>
      </c>
    </row>
    <row r="10" spans="1:11" ht="15" customHeight="1" x14ac:dyDescent="0.2">
      <c r="A10" s="7" t="s">
        <v>22</v>
      </c>
      <c r="B10" s="7" t="s">
        <v>16</v>
      </c>
      <c r="C10" s="9">
        <f>'Data 2023'!D10</f>
        <v>19290</v>
      </c>
      <c r="D10" s="9">
        <f>'Data 2024'!D10</f>
        <v>20115</v>
      </c>
      <c r="E10" s="19">
        <f t="shared" si="0"/>
        <v>4.2768273716951785E-2</v>
      </c>
      <c r="F10" s="10">
        <f>'Data 2023'!H10</f>
        <v>0.63949999999999996</v>
      </c>
      <c r="G10" s="10">
        <f>'Data 2024'!H10</f>
        <v>0.61</v>
      </c>
      <c r="H10" s="20">
        <f t="shared" si="1"/>
        <v>-2.9499999999999971E-2</v>
      </c>
      <c r="I10" s="10">
        <f>'Data 2023'!I10</f>
        <v>7.8E-2</v>
      </c>
      <c r="J10" s="10">
        <f>'Data 2024'!I10</f>
        <v>8.6999999999999994E-2</v>
      </c>
      <c r="K10" s="20">
        <f t="shared" si="2"/>
        <v>8.9999999999999941E-3</v>
      </c>
    </row>
    <row r="11" spans="1:11" ht="15" customHeight="1" x14ac:dyDescent="0.2">
      <c r="A11" s="7" t="s">
        <v>23</v>
      </c>
      <c r="B11" s="7" t="s">
        <v>16</v>
      </c>
      <c r="C11" s="9">
        <f>'Data 2023'!D11</f>
        <v>16276</v>
      </c>
      <c r="D11" s="9">
        <f>'Data 2024'!D11</f>
        <v>17593</v>
      </c>
      <c r="E11" s="19">
        <f t="shared" si="0"/>
        <v>8.0916687146719096E-2</v>
      </c>
      <c r="F11" s="10">
        <f>'Data 2023'!H11</f>
        <v>0.43049999999999999</v>
      </c>
      <c r="G11" s="10">
        <f>'Data 2024'!H11</f>
        <v>0.39249999999999996</v>
      </c>
      <c r="H11" s="20">
        <f t="shared" si="1"/>
        <v>-3.8000000000000034E-2</v>
      </c>
      <c r="I11" s="10">
        <f>'Data 2023'!I11</f>
        <v>0.27800000000000002</v>
      </c>
      <c r="J11" s="10">
        <f>'Data 2024'!I11</f>
        <v>0.27900000000000003</v>
      </c>
      <c r="K11" s="20">
        <f t="shared" si="2"/>
        <v>1.0000000000000009E-3</v>
      </c>
    </row>
    <row r="12" spans="1:11" ht="15" customHeight="1" x14ac:dyDescent="0.2">
      <c r="A12" s="7" t="s">
        <v>24</v>
      </c>
      <c r="B12" s="7" t="s">
        <v>25</v>
      </c>
      <c r="C12" s="9">
        <f>'Data 2023'!D12</f>
        <v>14046</v>
      </c>
      <c r="D12" s="9">
        <f>'Data 2024'!D12</f>
        <v>17023</v>
      </c>
      <c r="E12" s="19">
        <f t="shared" si="0"/>
        <v>0.21194646162608571</v>
      </c>
      <c r="F12" s="10">
        <f>'Data 2023'!H12</f>
        <v>0.51300000000000001</v>
      </c>
      <c r="G12" s="10">
        <f>'Data 2024'!H12</f>
        <v>0.5495000000000001</v>
      </c>
      <c r="H12" s="20">
        <f t="shared" si="1"/>
        <v>3.6500000000000088E-2</v>
      </c>
      <c r="I12" s="10">
        <f>'Data 2023'!I12</f>
        <v>0.25700000000000001</v>
      </c>
      <c r="J12" s="10">
        <f>'Data 2024'!I12</f>
        <v>0.27100000000000002</v>
      </c>
      <c r="K12" s="20">
        <f t="shared" si="2"/>
        <v>1.4000000000000012E-2</v>
      </c>
    </row>
    <row r="13" spans="1:11" ht="15" customHeight="1" x14ac:dyDescent="0.2">
      <c r="A13" s="7" t="s">
        <v>26</v>
      </c>
      <c r="B13" s="7" t="s">
        <v>16</v>
      </c>
      <c r="C13" s="9">
        <f>'Data 2023'!D13</f>
        <v>17167</v>
      </c>
      <c r="D13" s="9">
        <f>'Data 2024'!D13</f>
        <v>16823</v>
      </c>
      <c r="E13" s="19">
        <f t="shared" si="0"/>
        <v>-2.0038445855420282E-2</v>
      </c>
      <c r="F13" s="10">
        <f>'Data 2023'!H13</f>
        <v>0.58149999999999991</v>
      </c>
      <c r="G13" s="10">
        <f>'Data 2024'!H13</f>
        <v>0.57350000000000001</v>
      </c>
      <c r="H13" s="20">
        <f t="shared" si="1"/>
        <v>-7.9999999999998961E-3</v>
      </c>
      <c r="I13" s="10">
        <f>'Data 2023'!I13</f>
        <v>0.109</v>
      </c>
      <c r="J13" s="10">
        <f>'Data 2024'!I13</f>
        <v>0.111</v>
      </c>
      <c r="K13" s="20">
        <f t="shared" si="2"/>
        <v>2.0000000000000018E-3</v>
      </c>
    </row>
    <row r="14" spans="1:11" ht="15" customHeight="1" x14ac:dyDescent="0.2">
      <c r="A14" s="7" t="s">
        <v>27</v>
      </c>
      <c r="B14" s="7" t="s">
        <v>16</v>
      </c>
      <c r="C14" s="9">
        <f>'Data 2023'!D14</f>
        <v>20124</v>
      </c>
      <c r="D14" s="9">
        <f>'Data 2024'!D14</f>
        <v>20479</v>
      </c>
      <c r="E14" s="19">
        <f t="shared" si="0"/>
        <v>1.7640628105744384E-2</v>
      </c>
      <c r="F14" s="10">
        <f>'Data 2023'!H14</f>
        <v>0.72750000000000004</v>
      </c>
      <c r="G14" s="10">
        <f>'Data 2024'!H14</f>
        <v>0.73449999999999993</v>
      </c>
      <c r="H14" s="20">
        <f t="shared" si="1"/>
        <v>6.9999999999998952E-3</v>
      </c>
      <c r="I14" s="10">
        <f>'Data 2023'!I14</f>
        <v>7.1999999999999995E-2</v>
      </c>
      <c r="J14" s="10">
        <f>'Data 2024'!I14</f>
        <v>7.8E-2</v>
      </c>
      <c r="K14" s="20">
        <f t="shared" si="2"/>
        <v>6.0000000000000053E-3</v>
      </c>
    </row>
    <row r="15" spans="1:11" ht="15" customHeight="1" x14ac:dyDescent="0.2">
      <c r="A15" s="7" t="s">
        <v>28</v>
      </c>
      <c r="B15" s="7" t="s">
        <v>16</v>
      </c>
      <c r="C15" s="9">
        <f>'Data 2023'!D15</f>
        <v>16711</v>
      </c>
      <c r="D15" s="9">
        <f>'Data 2024'!D15</f>
        <v>17567</v>
      </c>
      <c r="E15" s="19">
        <f t="shared" si="0"/>
        <v>5.1223744838728984E-2</v>
      </c>
      <c r="F15" s="10">
        <f>'Data 2023'!H15</f>
        <v>0.3745</v>
      </c>
      <c r="G15" s="10">
        <f>'Data 2024'!H15</f>
        <v>0.36099999999999999</v>
      </c>
      <c r="H15" s="20">
        <f t="shared" si="1"/>
        <v>-1.3500000000000012E-2</v>
      </c>
      <c r="I15" s="10">
        <f>'Data 2023'!I15</f>
        <v>0.44</v>
      </c>
      <c r="J15" s="10">
        <f>'Data 2024'!I15</f>
        <v>0.438</v>
      </c>
      <c r="K15" s="20">
        <f t="shared" si="2"/>
        <v>-2.0000000000000018E-3</v>
      </c>
    </row>
    <row r="16" spans="1:11" ht="15" customHeight="1" x14ac:dyDescent="0.2">
      <c r="A16" s="7" t="s">
        <v>29</v>
      </c>
      <c r="B16" s="7" t="s">
        <v>16</v>
      </c>
      <c r="C16" s="9">
        <f>'Data 2023'!D16</f>
        <v>28867</v>
      </c>
      <c r="D16" s="9">
        <f>'Data 2024'!D16</f>
        <v>31139</v>
      </c>
      <c r="E16" s="19">
        <f t="shared" si="0"/>
        <v>7.8705788616759628E-2</v>
      </c>
      <c r="F16" s="10">
        <f>'Data 2023'!H16</f>
        <v>0.45699999999999996</v>
      </c>
      <c r="G16" s="10">
        <f>'Data 2024'!H16</f>
        <v>0.49950000000000006</v>
      </c>
      <c r="H16" s="20">
        <f t="shared" si="1"/>
        <v>4.2500000000000093E-2</v>
      </c>
      <c r="I16" s="10">
        <f>'Data 2023'!I16</f>
        <v>0.33200000000000002</v>
      </c>
      <c r="J16" s="10">
        <f>'Data 2024'!I16</f>
        <v>0.33400000000000002</v>
      </c>
      <c r="K16" s="20">
        <f t="shared" si="2"/>
        <v>2.0000000000000018E-3</v>
      </c>
    </row>
    <row r="17" spans="1:11" ht="15" customHeight="1" x14ac:dyDescent="0.2">
      <c r="A17" s="7" t="s">
        <v>30</v>
      </c>
      <c r="B17" s="7" t="s">
        <v>25</v>
      </c>
      <c r="C17" s="9">
        <f>'Data 2023'!D17</f>
        <v>11874</v>
      </c>
      <c r="D17" s="9">
        <f>'Data 2024'!D17</f>
        <v>12021</v>
      </c>
      <c r="E17" s="19">
        <f t="shared" si="0"/>
        <v>1.2379989893885801E-2</v>
      </c>
      <c r="F17" s="10">
        <f>'Data 2023'!H17</f>
        <v>0.46499999999999997</v>
      </c>
      <c r="G17" s="10">
        <f>'Data 2024'!H17</f>
        <v>0.44999999999999996</v>
      </c>
      <c r="H17" s="20">
        <f t="shared" si="1"/>
        <v>-1.5000000000000013E-2</v>
      </c>
      <c r="I17" s="10">
        <f>'Data 2023'!I17</f>
        <v>0.23200000000000001</v>
      </c>
      <c r="J17" s="10">
        <f>'Data 2024'!I17</f>
        <v>0.24</v>
      </c>
      <c r="K17" s="20">
        <f t="shared" si="2"/>
        <v>7.9999999999999793E-3</v>
      </c>
    </row>
    <row r="18" spans="1:11" ht="15" customHeight="1" x14ac:dyDescent="0.2">
      <c r="A18" s="7" t="s">
        <v>31</v>
      </c>
      <c r="B18" s="7" t="s">
        <v>16</v>
      </c>
      <c r="C18" s="9">
        <f>'Data 2023'!D18</f>
        <v>17743</v>
      </c>
      <c r="D18" s="9">
        <f>'Data 2024'!D18</f>
        <v>19487</v>
      </c>
      <c r="E18" s="19">
        <f t="shared" si="0"/>
        <v>9.829228428112495E-2</v>
      </c>
      <c r="F18" s="10">
        <f>'Data 2023'!H18</f>
        <v>0.57899999999999996</v>
      </c>
      <c r="G18" s="10">
        <f>'Data 2024'!H18</f>
        <v>0.55299999999999994</v>
      </c>
      <c r="H18" s="20">
        <f t="shared" si="1"/>
        <v>-2.6000000000000023E-2</v>
      </c>
      <c r="I18" s="10">
        <f>'Data 2023'!I18</f>
        <v>0.184</v>
      </c>
      <c r="J18" s="10">
        <f>'Data 2024'!I18</f>
        <v>0.188</v>
      </c>
      <c r="K18" s="20">
        <f t="shared" si="2"/>
        <v>4.0000000000000036E-3</v>
      </c>
    </row>
    <row r="19" spans="1:11" ht="15" customHeight="1" x14ac:dyDescent="0.2">
      <c r="A19" s="7" t="s">
        <v>32</v>
      </c>
      <c r="B19" s="7" t="s">
        <v>16</v>
      </c>
      <c r="C19" s="9">
        <f>'Data 2023'!D19</f>
        <v>18721</v>
      </c>
      <c r="D19" s="9">
        <f>'Data 2024'!D19</f>
        <v>19536</v>
      </c>
      <c r="E19" s="19">
        <f t="shared" si="0"/>
        <v>4.35339992521767E-2</v>
      </c>
      <c r="F19" s="10">
        <f>'Data 2023'!H19</f>
        <v>0.36599999999999999</v>
      </c>
      <c r="G19" s="10">
        <f>'Data 2024'!H19</f>
        <v>0.36649999999999999</v>
      </c>
      <c r="H19" s="20">
        <f t="shared" si="1"/>
        <v>5.0000000000000044E-4</v>
      </c>
      <c r="I19" s="10">
        <f>'Data 2023'!I19</f>
        <v>0.39800000000000002</v>
      </c>
      <c r="J19" s="10">
        <f>'Data 2024'!I19</f>
        <v>0.40699999999999997</v>
      </c>
      <c r="K19" s="20">
        <f t="shared" si="2"/>
        <v>8.9999999999999525E-3</v>
      </c>
    </row>
    <row r="20" spans="1:11" ht="15" customHeight="1" x14ac:dyDescent="0.2">
      <c r="A20" s="7" t="s">
        <v>33</v>
      </c>
      <c r="B20" s="7" t="s">
        <v>16</v>
      </c>
      <c r="C20" s="9">
        <f>'Data 2023'!D20</f>
        <v>18616</v>
      </c>
      <c r="D20" s="9">
        <f>'Data 2024'!D20</f>
        <v>19525</v>
      </c>
      <c r="E20" s="19">
        <f t="shared" si="0"/>
        <v>4.8828964331757631E-2</v>
      </c>
      <c r="F20" s="10">
        <f>'Data 2023'!H20</f>
        <v>0.66400000000000003</v>
      </c>
      <c r="G20" s="10">
        <f>'Data 2024'!H20</f>
        <v>0.66949999999999998</v>
      </c>
      <c r="H20" s="20">
        <f t="shared" si="1"/>
        <v>5.4999999999999494E-3</v>
      </c>
      <c r="I20" s="10">
        <f>'Data 2023'!I20</f>
        <v>0.06</v>
      </c>
      <c r="J20" s="10">
        <f>'Data 2024'!I20</f>
        <v>5.8000000000000003E-2</v>
      </c>
      <c r="K20" s="20">
        <f t="shared" si="2"/>
        <v>-1.9999999999999948E-3</v>
      </c>
    </row>
    <row r="21" spans="1:11" ht="15" customHeight="1" x14ac:dyDescent="0.2">
      <c r="A21" s="7" t="s">
        <v>34</v>
      </c>
      <c r="B21" s="7" t="s">
        <v>16</v>
      </c>
      <c r="C21" s="9">
        <f>'Data 2023'!D21</f>
        <v>17795</v>
      </c>
      <c r="D21" s="9">
        <f>'Data 2024'!D21</f>
        <v>18911</v>
      </c>
      <c r="E21" s="19">
        <f t="shared" si="0"/>
        <v>6.2714245574599606E-2</v>
      </c>
      <c r="F21" s="10">
        <f>'Data 2023'!H21</f>
        <v>0.53400000000000003</v>
      </c>
      <c r="G21" s="10">
        <f>'Data 2024'!H21</f>
        <v>0.50849999999999995</v>
      </c>
      <c r="H21" s="20">
        <f t="shared" si="1"/>
        <v>-2.5500000000000078E-2</v>
      </c>
      <c r="I21" s="10">
        <f>'Data 2023'!I21</f>
        <v>0.187</v>
      </c>
      <c r="J21" s="10">
        <f>'Data 2024'!I21</f>
        <v>0.18</v>
      </c>
      <c r="K21" s="20">
        <f t="shared" si="2"/>
        <v>-7.0000000000000062E-3</v>
      </c>
    </row>
    <row r="22" spans="1:11" ht="15" customHeight="1" x14ac:dyDescent="0.2">
      <c r="A22" s="7" t="s">
        <v>35</v>
      </c>
      <c r="B22" s="7" t="s">
        <v>16</v>
      </c>
      <c r="C22" s="9">
        <f>'Data 2023'!D22</f>
        <v>21495</v>
      </c>
      <c r="D22" s="9">
        <f>'Data 2024'!D22</f>
        <v>22128</v>
      </c>
      <c r="E22" s="19">
        <f t="shared" si="0"/>
        <v>2.9448709002093509E-2</v>
      </c>
      <c r="F22" s="10">
        <f>'Data 2023'!H22</f>
        <v>0.45499999999999996</v>
      </c>
      <c r="G22" s="10">
        <f>'Data 2024'!H22</f>
        <v>0.41700000000000004</v>
      </c>
      <c r="H22" s="20">
        <f t="shared" si="1"/>
        <v>-3.7999999999999923E-2</v>
      </c>
      <c r="I22" s="10">
        <f>'Data 2023'!I22</f>
        <v>0.32500000000000001</v>
      </c>
      <c r="J22" s="10">
        <f>'Data 2024'!I22</f>
        <v>0.315</v>
      </c>
      <c r="K22" s="20">
        <f t="shared" si="2"/>
        <v>-1.0000000000000009E-2</v>
      </c>
    </row>
    <row r="23" spans="1:11" ht="15" customHeight="1" x14ac:dyDescent="0.2">
      <c r="A23" s="7" t="s">
        <v>36</v>
      </c>
      <c r="B23" s="7" t="s">
        <v>16</v>
      </c>
      <c r="C23" s="9">
        <f>'Data 2023'!D23</f>
        <v>19120</v>
      </c>
      <c r="D23" s="9">
        <f>'Data 2024'!D23</f>
        <v>20257</v>
      </c>
      <c r="E23" s="19">
        <f t="shared" si="0"/>
        <v>5.946652719665272E-2</v>
      </c>
      <c r="F23" s="10">
        <f>'Data 2023'!H23</f>
        <v>0.4405</v>
      </c>
      <c r="G23" s="10">
        <f>'Data 2024'!H23</f>
        <v>0.42749999999999999</v>
      </c>
      <c r="H23" s="20">
        <f t="shared" si="1"/>
        <v>-1.3000000000000012E-2</v>
      </c>
      <c r="I23" s="10">
        <f>'Data 2023'!I23</f>
        <v>0.47799999999999998</v>
      </c>
      <c r="J23" s="10">
        <f>'Data 2024'!I23</f>
        <v>0.47199999999999998</v>
      </c>
      <c r="K23" s="20">
        <f t="shared" si="2"/>
        <v>-6.0000000000000053E-3</v>
      </c>
    </row>
    <row r="24" spans="1:11" ht="15" customHeight="1" x14ac:dyDescent="0.2">
      <c r="A24" s="7" t="s">
        <v>37</v>
      </c>
      <c r="B24" s="7" t="s">
        <v>16</v>
      </c>
      <c r="C24" s="9">
        <f>'Data 2023'!D24</f>
        <v>20125</v>
      </c>
      <c r="D24" s="9">
        <f>'Data 2024'!D24</f>
        <v>21153</v>
      </c>
      <c r="E24" s="19">
        <f t="shared" si="0"/>
        <v>5.1080745341614907E-2</v>
      </c>
      <c r="F24" s="10">
        <f>'Data 2023'!H24</f>
        <v>0.40349999999999997</v>
      </c>
      <c r="G24" s="10">
        <f>'Data 2024'!H24</f>
        <v>0.38100000000000001</v>
      </c>
      <c r="H24" s="20">
        <f t="shared" si="1"/>
        <v>-2.2499999999999964E-2</v>
      </c>
      <c r="I24" s="10">
        <f>'Data 2023'!I24</f>
        <v>0.47899999999999998</v>
      </c>
      <c r="J24" s="10">
        <f>'Data 2024'!I24</f>
        <v>0.47199999999999998</v>
      </c>
      <c r="K24" s="20">
        <f t="shared" si="2"/>
        <v>-7.0000000000000062E-3</v>
      </c>
    </row>
    <row r="25" spans="1:11" ht="15" customHeight="1" x14ac:dyDescent="0.2">
      <c r="A25" s="7" t="s">
        <v>38</v>
      </c>
      <c r="B25" s="7" t="s">
        <v>16</v>
      </c>
      <c r="C25" s="9">
        <f>'Data 2023'!D25</f>
        <v>19419</v>
      </c>
      <c r="D25" s="9">
        <f>'Data 2024'!D25</f>
        <v>20435</v>
      </c>
      <c r="E25" s="19">
        <f t="shared" si="0"/>
        <v>5.2319892888408263E-2</v>
      </c>
      <c r="F25" s="10">
        <f>'Data 2023'!H25</f>
        <v>0.62349999999999994</v>
      </c>
      <c r="G25" s="10">
        <f>'Data 2024'!H25</f>
        <v>0.59749999999999992</v>
      </c>
      <c r="H25" s="20">
        <f t="shared" si="1"/>
        <v>-2.6000000000000023E-2</v>
      </c>
      <c r="I25" s="10">
        <f>'Data 2023'!I25</f>
        <v>0.121</v>
      </c>
      <c r="J25" s="10">
        <f>'Data 2024'!I25</f>
        <v>0.11799999999999999</v>
      </c>
      <c r="K25" s="20">
        <f t="shared" si="2"/>
        <v>-3.0000000000000027E-3</v>
      </c>
    </row>
    <row r="26" spans="1:11" ht="15" customHeight="1" x14ac:dyDescent="0.2">
      <c r="A26" s="7" t="s">
        <v>39</v>
      </c>
      <c r="B26" s="7" t="s">
        <v>40</v>
      </c>
      <c r="C26" s="9">
        <f>'Data 2023'!D26</f>
        <v>22807</v>
      </c>
      <c r="D26" s="9">
        <f>'Data 2024'!D26</f>
        <v>22927</v>
      </c>
      <c r="E26" s="19">
        <f t="shared" si="0"/>
        <v>5.2615425088788532E-3</v>
      </c>
      <c r="F26" s="10">
        <f>'Data 2023'!H26</f>
        <v>0.46499999999999997</v>
      </c>
      <c r="G26" s="10">
        <f>'Data 2024'!H26</f>
        <v>0.4</v>
      </c>
      <c r="H26" s="20">
        <f t="shared" si="1"/>
        <v>-6.4999999999999947E-2</v>
      </c>
      <c r="I26" s="10">
        <f>'Data 2023'!I26</f>
        <v>0.24</v>
      </c>
      <c r="J26" s="10">
        <f>'Data 2024'!I26</f>
        <v>0.22800000000000001</v>
      </c>
      <c r="K26" s="20">
        <f t="shared" si="2"/>
        <v>-1.1999999999999983E-2</v>
      </c>
    </row>
    <row r="27" spans="1:11" ht="15" customHeight="1" x14ac:dyDescent="0.2">
      <c r="A27" s="7" t="s">
        <v>41</v>
      </c>
      <c r="B27" s="7" t="s">
        <v>16</v>
      </c>
      <c r="C27" s="9">
        <f>'Data 2023'!D27</f>
        <v>18245</v>
      </c>
      <c r="D27" s="9">
        <f>'Data 2024'!D27</f>
        <v>19597</v>
      </c>
      <c r="E27" s="19">
        <f t="shared" si="0"/>
        <v>7.4102493833927099E-2</v>
      </c>
      <c r="F27" s="10">
        <f>'Data 2023'!H27</f>
        <v>0.38850000000000001</v>
      </c>
      <c r="G27" s="10">
        <f>'Data 2024'!H27</f>
        <v>0.39200000000000002</v>
      </c>
      <c r="H27" s="20">
        <f t="shared" si="1"/>
        <v>3.5000000000000031E-3</v>
      </c>
      <c r="I27" s="10">
        <f>'Data 2023'!I27</f>
        <v>0.41699999999999998</v>
      </c>
      <c r="J27" s="10">
        <f>'Data 2024'!I27</f>
        <v>0.40500000000000003</v>
      </c>
      <c r="K27" s="20">
        <f t="shared" si="2"/>
        <v>-1.1999999999999955E-2</v>
      </c>
    </row>
    <row r="28" spans="1:11" ht="15" customHeight="1" x14ac:dyDescent="0.2">
      <c r="A28" s="11" t="s">
        <v>42</v>
      </c>
      <c r="B28" s="11" t="s">
        <v>19</v>
      </c>
      <c r="C28" s="13">
        <f>'Data 2023'!D28</f>
        <v>17232</v>
      </c>
      <c r="D28" s="13">
        <f>'Data 2024'!D28</f>
        <v>18079</v>
      </c>
      <c r="E28" s="21">
        <f t="shared" si="0"/>
        <v>4.9152739090064998E-2</v>
      </c>
      <c r="F28" s="14">
        <f>'Data 2023'!H28</f>
        <v>0.43</v>
      </c>
      <c r="G28" s="14">
        <f>'Data 2024'!H28</f>
        <v>0.38</v>
      </c>
      <c r="H28" s="22">
        <f t="shared" si="1"/>
        <v>-4.9999999999999989E-2</v>
      </c>
      <c r="I28" s="14">
        <f>'Data 2023'!I28</f>
        <v>0.29899999999999999</v>
      </c>
      <c r="J28" s="14">
        <f>'Data 2024'!I28</f>
        <v>0.30499999999999999</v>
      </c>
      <c r="K28" s="22">
        <f t="shared" si="2"/>
        <v>6.0000000000000053E-3</v>
      </c>
    </row>
    <row r="29" spans="1:11" ht="15" customHeight="1" x14ac:dyDescent="0.2">
      <c r="A29" s="7" t="s">
        <v>43</v>
      </c>
      <c r="B29" s="7" t="s">
        <v>44</v>
      </c>
      <c r="C29" s="9">
        <f>'Data 2023'!D29</f>
        <v>26131</v>
      </c>
      <c r="D29" s="9">
        <f>'Data 2024'!D29</f>
        <v>26355</v>
      </c>
      <c r="E29" s="19">
        <f t="shared" si="0"/>
        <v>8.5721939458880264E-3</v>
      </c>
      <c r="F29" s="10">
        <f>'Data 2023'!H29</f>
        <v>0</v>
      </c>
      <c r="G29" s="10">
        <f>'Data 2024'!H29</f>
        <v>0</v>
      </c>
      <c r="H29" s="20">
        <f t="shared" si="1"/>
        <v>0</v>
      </c>
      <c r="I29" s="10">
        <f>'Data 2023'!I29</f>
        <v>0.26200000000000001</v>
      </c>
      <c r="J29" s="10">
        <f>'Data 2024'!I29</f>
        <v>0.217</v>
      </c>
      <c r="K29" s="20">
        <f t="shared" si="2"/>
        <v>-4.5000000000000012E-2</v>
      </c>
    </row>
    <row r="30" spans="1:11" ht="15" customHeight="1" x14ac:dyDescent="0.2">
      <c r="A30" s="7" t="s">
        <v>45</v>
      </c>
      <c r="B30" s="7" t="s">
        <v>44</v>
      </c>
      <c r="C30" s="9">
        <f>'Data 2023'!D30</f>
        <v>27437</v>
      </c>
      <c r="D30" s="9">
        <f>'Data 2024'!D30</f>
        <v>30021</v>
      </c>
      <c r="E30" s="19">
        <f t="shared" si="0"/>
        <v>9.4179392790757002E-2</v>
      </c>
      <c r="F30" s="10">
        <f>'Data 2023'!H30</f>
        <v>0</v>
      </c>
      <c r="G30" s="10">
        <f>'Data 2024'!H30</f>
        <v>0</v>
      </c>
      <c r="H30" s="20">
        <f t="shared" si="1"/>
        <v>0</v>
      </c>
      <c r="I30" s="10">
        <f>'Data 2023'!I30</f>
        <v>0.29299999999999998</v>
      </c>
      <c r="J30" s="10">
        <f>'Data 2024'!I30</f>
        <v>0.28499999999999998</v>
      </c>
      <c r="K30" s="20">
        <f t="shared" si="2"/>
        <v>-8.0000000000000071E-3</v>
      </c>
    </row>
    <row r="31" spans="1:11" ht="15" customHeight="1" x14ac:dyDescent="0.2">
      <c r="A31" s="15" t="s">
        <v>46</v>
      </c>
      <c r="B31" s="15" t="s">
        <v>47</v>
      </c>
      <c r="C31" s="17">
        <f>'Data 2023'!D31</f>
        <v>21261</v>
      </c>
      <c r="D31" s="17">
        <f>'Data 2024'!D31</f>
        <v>22408</v>
      </c>
      <c r="E31" s="23">
        <f t="shared" si="0"/>
        <v>5.3948544282959407E-2</v>
      </c>
      <c r="F31" s="18">
        <f>'Data 2023'!H31</f>
        <v>0.41499999999999998</v>
      </c>
      <c r="G31" s="18">
        <f>'Data 2024'!H31</f>
        <v>0.4</v>
      </c>
      <c r="H31" s="24">
        <f t="shared" si="1"/>
        <v>-1.4999999999999958E-2</v>
      </c>
      <c r="I31" s="18">
        <f>'Data 2023'!I31</f>
        <v>0.42299999999999999</v>
      </c>
      <c r="J31" s="18">
        <f>'Data 2024'!I31</f>
        <v>0.42199999999999999</v>
      </c>
      <c r="K31" s="24">
        <f t="shared" si="2"/>
        <v>-1.0000000000000009E-3</v>
      </c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52"/>
  <sheetViews>
    <sheetView zoomScaleNormal="100" workbookViewId="0">
      <selection activeCell="C96" sqref="C96"/>
    </sheetView>
  </sheetViews>
  <sheetFormatPr baseColWidth="10" defaultColWidth="8.6640625" defaultRowHeight="15" x14ac:dyDescent="0.2"/>
  <cols>
    <col min="1" max="1" width="48" customWidth="1"/>
    <col min="2" max="3" width="18" customWidth="1"/>
    <col min="4" max="4" width="16" customWidth="1"/>
    <col min="5" max="5" width="13" customWidth="1"/>
  </cols>
  <sheetData>
    <row r="1" spans="1:6" ht="15.75" customHeight="1" x14ac:dyDescent="0.2">
      <c r="A1" s="4" t="s">
        <v>61</v>
      </c>
      <c r="B1" s="4"/>
      <c r="C1" s="4"/>
      <c r="D1" s="4"/>
      <c r="E1" s="4"/>
      <c r="F1" s="4"/>
    </row>
    <row r="2" spans="1:6" ht="15" customHeight="1" x14ac:dyDescent="0.2">
      <c r="A2" s="3" t="s">
        <v>62</v>
      </c>
      <c r="B2" s="3"/>
      <c r="C2" s="3"/>
      <c r="D2" s="3"/>
      <c r="E2" s="3"/>
      <c r="F2" s="3"/>
    </row>
    <row r="4" spans="1:6" ht="15" customHeight="1" x14ac:dyDescent="0.2">
      <c r="A4" s="25" t="s">
        <v>63</v>
      </c>
    </row>
    <row r="5" spans="1:6" ht="15" customHeight="1" x14ac:dyDescent="0.2">
      <c r="A5" s="6" t="s">
        <v>2</v>
      </c>
      <c r="B5" s="6" t="s">
        <v>5</v>
      </c>
      <c r="C5" s="6" t="s">
        <v>9</v>
      </c>
      <c r="D5" s="6" t="s">
        <v>10</v>
      </c>
    </row>
    <row r="6" spans="1:6" ht="15" customHeight="1" x14ac:dyDescent="0.2">
      <c r="A6" s="7" t="str">
        <f>'Data 2024'!A5</f>
        <v>Abington</v>
      </c>
      <c r="B6" s="9">
        <f>'Data 2024'!D5</f>
        <v>17097</v>
      </c>
      <c r="C6" s="10">
        <f>'Data 2024'!H5</f>
        <v>0.41649999999999998</v>
      </c>
      <c r="D6" s="10">
        <f>'Data 2024'!I5</f>
        <v>0.32500000000000001</v>
      </c>
    </row>
    <row r="7" spans="1:6" ht="15" customHeight="1" x14ac:dyDescent="0.2">
      <c r="A7" s="7" t="str">
        <f>'Data 2024'!A6</f>
        <v>Braintree</v>
      </c>
      <c r="B7" s="9">
        <f>'Data 2024'!D6</f>
        <v>19549</v>
      </c>
      <c r="C7" s="10">
        <f>'Data 2024'!H6</f>
        <v>0.52100000000000002</v>
      </c>
      <c r="D7" s="10">
        <f>'Data 2024'!I6</f>
        <v>0.27600000000000002</v>
      </c>
    </row>
    <row r="8" spans="1:6" ht="15" customHeight="1" x14ac:dyDescent="0.2">
      <c r="A8" s="7" t="str">
        <f>'Data 2024'!A7</f>
        <v>Bridgewater-Raynham</v>
      </c>
      <c r="B8" s="9">
        <f>'Data 2024'!D7</f>
        <v>16125</v>
      </c>
      <c r="C8" s="10">
        <f>'Data 2024'!H7</f>
        <v>0.40100000000000002</v>
      </c>
      <c r="D8" s="10">
        <f>'Data 2024'!I7</f>
        <v>0.26400000000000001</v>
      </c>
    </row>
    <row r="9" spans="1:6" ht="15" customHeight="1" x14ac:dyDescent="0.2">
      <c r="A9" s="7" t="str">
        <f>'Data 2024'!A8</f>
        <v>Carver</v>
      </c>
      <c r="B9" s="9">
        <f>'Data 2024'!D8</f>
        <v>19247</v>
      </c>
      <c r="C9" s="10">
        <f>'Data 2024'!H8</f>
        <v>0.309</v>
      </c>
      <c r="D9" s="10">
        <f>'Data 2024'!I8</f>
        <v>0.29499999999999998</v>
      </c>
    </row>
    <row r="10" spans="1:6" ht="15" customHeight="1" x14ac:dyDescent="0.2">
      <c r="A10" s="7" t="str">
        <f>'Data 2024'!A9</f>
        <v>Cohasset</v>
      </c>
      <c r="B10" s="9">
        <f>'Data 2024'!D9</f>
        <v>22516</v>
      </c>
      <c r="C10" s="10">
        <f>'Data 2024'!H9</f>
        <v>0.67800000000000005</v>
      </c>
      <c r="D10" s="10">
        <f>'Data 2024'!I9</f>
        <v>6.3E-2</v>
      </c>
    </row>
    <row r="11" spans="1:6" ht="15" customHeight="1" x14ac:dyDescent="0.2">
      <c r="A11" s="7" t="str">
        <f>'Data 2024'!A10</f>
        <v>Duxbury</v>
      </c>
      <c r="B11" s="9">
        <f>'Data 2024'!D10</f>
        <v>20115</v>
      </c>
      <c r="C11" s="10">
        <f>'Data 2024'!H10</f>
        <v>0.61</v>
      </c>
      <c r="D11" s="10">
        <f>'Data 2024'!I10</f>
        <v>8.6999999999999994E-2</v>
      </c>
    </row>
    <row r="12" spans="1:6" ht="15" customHeight="1" x14ac:dyDescent="0.2">
      <c r="A12" s="7" t="str">
        <f>'Data 2024'!A11</f>
        <v>East Bridgewater</v>
      </c>
      <c r="B12" s="9">
        <f>'Data 2024'!D11</f>
        <v>17593</v>
      </c>
      <c r="C12" s="10">
        <f>'Data 2024'!H11</f>
        <v>0.39249999999999996</v>
      </c>
      <c r="D12" s="10">
        <f>'Data 2024'!I11</f>
        <v>0.27900000000000003</v>
      </c>
    </row>
    <row r="13" spans="1:6" ht="15" customHeight="1" x14ac:dyDescent="0.2">
      <c r="A13" s="7" t="str">
        <f>'Data 2024'!A13</f>
        <v>Hanover</v>
      </c>
      <c r="B13" s="9">
        <f>'Data 2024'!D13</f>
        <v>16823</v>
      </c>
      <c r="C13" s="10">
        <f>'Data 2024'!H13</f>
        <v>0.57350000000000001</v>
      </c>
      <c r="D13" s="10">
        <f>'Data 2024'!I13</f>
        <v>0.111</v>
      </c>
    </row>
    <row r="14" spans="1:6" ht="15" customHeight="1" x14ac:dyDescent="0.2">
      <c r="A14" s="7" t="str">
        <f>'Data 2024'!A14</f>
        <v>Hingham</v>
      </c>
      <c r="B14" s="9">
        <f>'Data 2024'!D14</f>
        <v>20479</v>
      </c>
      <c r="C14" s="10">
        <f>'Data 2024'!H14</f>
        <v>0.73449999999999993</v>
      </c>
      <c r="D14" s="10">
        <f>'Data 2024'!I14</f>
        <v>7.8E-2</v>
      </c>
    </row>
    <row r="15" spans="1:6" ht="15" customHeight="1" x14ac:dyDescent="0.2">
      <c r="A15" s="7" t="str">
        <f>'Data 2024'!A15</f>
        <v>Holbrook</v>
      </c>
      <c r="B15" s="9">
        <f>'Data 2024'!D15</f>
        <v>17567</v>
      </c>
      <c r="C15" s="10">
        <f>'Data 2024'!H15</f>
        <v>0.36099999999999999</v>
      </c>
      <c r="D15" s="10">
        <f>'Data 2024'!I15</f>
        <v>0.438</v>
      </c>
    </row>
    <row r="16" spans="1:6" ht="15" customHeight="1" x14ac:dyDescent="0.2">
      <c r="A16" s="7" t="str">
        <f>'Data 2024'!A16</f>
        <v>Hull</v>
      </c>
      <c r="B16" s="9">
        <f>'Data 2024'!D16</f>
        <v>31139</v>
      </c>
      <c r="C16" s="10">
        <f>'Data 2024'!H16</f>
        <v>0.49950000000000006</v>
      </c>
      <c r="D16" s="10">
        <f>'Data 2024'!I16</f>
        <v>0.33400000000000002</v>
      </c>
    </row>
    <row r="17" spans="1:4" ht="15" customHeight="1" x14ac:dyDescent="0.2">
      <c r="A17" s="7" t="str">
        <f>'Data 2024'!A18</f>
        <v>Marshfield</v>
      </c>
      <c r="B17" s="9">
        <f>'Data 2024'!D18</f>
        <v>19487</v>
      </c>
      <c r="C17" s="10">
        <f>'Data 2024'!H18</f>
        <v>0.55299999999999994</v>
      </c>
      <c r="D17" s="10">
        <f>'Data 2024'!I18</f>
        <v>0.188</v>
      </c>
    </row>
    <row r="18" spans="1:4" ht="15" customHeight="1" x14ac:dyDescent="0.2">
      <c r="A18" s="7" t="str">
        <f>'Data 2024'!A19</f>
        <v>Middleborough</v>
      </c>
      <c r="B18" s="9">
        <f>'Data 2024'!D19</f>
        <v>19536</v>
      </c>
      <c r="C18" s="10">
        <f>'Data 2024'!H19</f>
        <v>0.36649999999999999</v>
      </c>
      <c r="D18" s="10">
        <f>'Data 2024'!I19</f>
        <v>0.40699999999999997</v>
      </c>
    </row>
    <row r="19" spans="1:4" ht="15" customHeight="1" x14ac:dyDescent="0.2">
      <c r="A19" s="7" t="str">
        <f>'Data 2024'!A20</f>
        <v>Norwell</v>
      </c>
      <c r="B19" s="9">
        <f>'Data 2024'!D20</f>
        <v>19525</v>
      </c>
      <c r="C19" s="10">
        <f>'Data 2024'!H20</f>
        <v>0.66949999999999998</v>
      </c>
      <c r="D19" s="10">
        <f>'Data 2024'!I20</f>
        <v>5.8000000000000003E-2</v>
      </c>
    </row>
    <row r="20" spans="1:4" ht="15" customHeight="1" x14ac:dyDescent="0.2">
      <c r="A20" s="7" t="str">
        <f>'Data 2024'!A21</f>
        <v>Pembroke</v>
      </c>
      <c r="B20" s="9">
        <f>'Data 2024'!D21</f>
        <v>18911</v>
      </c>
      <c r="C20" s="10">
        <f>'Data 2024'!H21</f>
        <v>0.50849999999999995</v>
      </c>
      <c r="D20" s="10">
        <f>'Data 2024'!I21</f>
        <v>0.18</v>
      </c>
    </row>
    <row r="21" spans="1:4" ht="15" customHeight="1" x14ac:dyDescent="0.2">
      <c r="A21" s="7" t="str">
        <f>'Data 2024'!A22</f>
        <v>Plymouth</v>
      </c>
      <c r="B21" s="9">
        <f>'Data 2024'!D22</f>
        <v>22128</v>
      </c>
      <c r="C21" s="10">
        <f>'Data 2024'!H22</f>
        <v>0.41700000000000004</v>
      </c>
      <c r="D21" s="10">
        <f>'Data 2024'!I22</f>
        <v>0.315</v>
      </c>
    </row>
    <row r="22" spans="1:4" ht="15" customHeight="1" x14ac:dyDescent="0.2">
      <c r="A22" s="7" t="str">
        <f>'Data 2024'!A23</f>
        <v>Quincy</v>
      </c>
      <c r="B22" s="9">
        <f>'Data 2024'!D23</f>
        <v>20257</v>
      </c>
      <c r="C22" s="10">
        <f>'Data 2024'!H23</f>
        <v>0.42749999999999999</v>
      </c>
      <c r="D22" s="10">
        <f>'Data 2024'!I23</f>
        <v>0.47199999999999998</v>
      </c>
    </row>
    <row r="23" spans="1:4" ht="15" customHeight="1" x14ac:dyDescent="0.2">
      <c r="A23" s="7" t="str">
        <f>'Data 2024'!A24</f>
        <v>Rockland</v>
      </c>
      <c r="B23" s="9">
        <f>'Data 2024'!D24</f>
        <v>21153</v>
      </c>
      <c r="C23" s="10">
        <f>'Data 2024'!H24</f>
        <v>0.38100000000000001</v>
      </c>
      <c r="D23" s="10">
        <f>'Data 2024'!I24</f>
        <v>0.47199999999999998</v>
      </c>
    </row>
    <row r="24" spans="1:4" ht="15" customHeight="1" x14ac:dyDescent="0.2">
      <c r="A24" s="7" t="str">
        <f>'Data 2024'!A25</f>
        <v>Scituate</v>
      </c>
      <c r="B24" s="9">
        <f>'Data 2024'!D25</f>
        <v>20435</v>
      </c>
      <c r="C24" s="10">
        <f>'Data 2024'!H25</f>
        <v>0.59749999999999992</v>
      </c>
      <c r="D24" s="10">
        <f>'Data 2024'!I25</f>
        <v>0.11799999999999999</v>
      </c>
    </row>
    <row r="25" spans="1:4" ht="15" customHeight="1" x14ac:dyDescent="0.2">
      <c r="A25" s="7" t="str">
        <f>'Data 2024'!A27</f>
        <v>Weymouth</v>
      </c>
      <c r="B25" s="9">
        <f>'Data 2024'!D27</f>
        <v>19597</v>
      </c>
      <c r="C25" s="10">
        <f>'Data 2024'!H27</f>
        <v>0.39200000000000002</v>
      </c>
      <c r="D25" s="10">
        <f>'Data 2024'!I27</f>
        <v>0.40500000000000003</v>
      </c>
    </row>
    <row r="26" spans="1:4" ht="15" customHeight="1" x14ac:dyDescent="0.2">
      <c r="A26" s="7" t="str">
        <f>'Data 2024'!A28</f>
        <v>Whitman-Hanson</v>
      </c>
      <c r="B26" s="9">
        <f>'Data 2024'!D28</f>
        <v>18079</v>
      </c>
      <c r="C26" s="10">
        <f>'Data 2024'!H28</f>
        <v>0.38</v>
      </c>
      <c r="D26" s="10">
        <f>'Data 2024'!I28</f>
        <v>0.30499999999999999</v>
      </c>
    </row>
    <row r="28" spans="1:4" ht="15" customHeight="1" x14ac:dyDescent="0.2">
      <c r="A28" s="25" t="s">
        <v>64</v>
      </c>
      <c r="B28" s="26"/>
    </row>
    <row r="29" spans="1:4" ht="15" customHeight="1" x14ac:dyDescent="0.2">
      <c r="A29" s="26" t="s">
        <v>65</v>
      </c>
      <c r="B29" s="27">
        <f>CORREL(B6:B26,C6:C26)</f>
        <v>0.21201233399316929</v>
      </c>
    </row>
    <row r="30" spans="1:4" ht="15" customHeight="1" x14ac:dyDescent="0.2">
      <c r="A30" s="26" t="s">
        <v>66</v>
      </c>
      <c r="B30" s="27">
        <f>CORREL(B6:B26,D6:D26)</f>
        <v>4.0428618404722977E-2</v>
      </c>
    </row>
    <row r="31" spans="1:4" ht="15" customHeight="1" x14ac:dyDescent="0.2">
      <c r="A31" s="26" t="s">
        <v>67</v>
      </c>
      <c r="B31" s="27">
        <f>CORREL(D6:D26,C6:C26)</f>
        <v>-0.85346261388259825</v>
      </c>
    </row>
    <row r="32" spans="1:4" ht="15" customHeight="1" x14ac:dyDescent="0.2">
      <c r="A32" s="26"/>
      <c r="B32" s="26"/>
    </row>
    <row r="33" spans="1:4" ht="15" customHeight="1" x14ac:dyDescent="0.2">
      <c r="A33" s="25" t="s">
        <v>68</v>
      </c>
      <c r="B33" s="27">
        <f>(B29-B30*B31)/SQRT((1-B30^2)*(1-B31^2))</f>
        <v>0.4734077144177391</v>
      </c>
    </row>
    <row r="34" spans="1:4" ht="15" customHeight="1" x14ac:dyDescent="0.2">
      <c r="A34" s="26"/>
      <c r="B34" s="26"/>
    </row>
    <row r="35" spans="1:4" ht="15" customHeight="1" x14ac:dyDescent="0.2">
      <c r="A35" s="25" t="s">
        <v>69</v>
      </c>
      <c r="B35" s="26"/>
    </row>
    <row r="36" spans="1:4" ht="15" customHeight="1" x14ac:dyDescent="0.2">
      <c r="A36" s="26" t="s">
        <v>70</v>
      </c>
      <c r="B36" s="28">
        <f>AVERAGE(B6:B26)</f>
        <v>19874.190476190477</v>
      </c>
    </row>
    <row r="37" spans="1:4" ht="15" customHeight="1" x14ac:dyDescent="0.2">
      <c r="A37" s="26" t="s">
        <v>71</v>
      </c>
      <c r="B37" s="29">
        <f>AVERAGE(C6:C26)</f>
        <v>0.48519047619047628</v>
      </c>
    </row>
    <row r="38" spans="1:4" ht="15" customHeight="1" x14ac:dyDescent="0.2">
      <c r="A38" s="26" t="s">
        <v>72</v>
      </c>
      <c r="B38" s="29">
        <f>AVERAGE(D6:D26)</f>
        <v>0.26047619047619047</v>
      </c>
    </row>
    <row r="40" spans="1:4" ht="15" customHeight="1" x14ac:dyDescent="0.2">
      <c r="A40" s="25" t="s">
        <v>73</v>
      </c>
    </row>
    <row r="41" spans="1:4" ht="15" customHeight="1" x14ac:dyDescent="0.2">
      <c r="A41" s="3" t="s">
        <v>74</v>
      </c>
      <c r="B41" s="3"/>
      <c r="C41" s="3"/>
      <c r="D41" s="3"/>
    </row>
    <row r="42" spans="1:4" ht="23.25" customHeight="1" x14ac:dyDescent="0.2">
      <c r="A42" s="6" t="s">
        <v>2</v>
      </c>
      <c r="B42" s="6" t="s">
        <v>75</v>
      </c>
      <c r="C42" s="6" t="s">
        <v>76</v>
      </c>
      <c r="D42" s="6" t="s">
        <v>77</v>
      </c>
    </row>
    <row r="43" spans="1:4" ht="15" customHeight="1" x14ac:dyDescent="0.2">
      <c r="A43" s="7" t="str">
        <f>'Data 2024'!A5</f>
        <v>Abington</v>
      </c>
      <c r="B43" s="10">
        <f>'Data 2024'!H5</f>
        <v>0.41649999999999998</v>
      </c>
      <c r="C43" s="10">
        <f>SLOPE(C6:C26,D6:D26)*D6+INTERCEPT(C6:C26,D6:D26)</f>
        <v>0.43646750349801233</v>
      </c>
      <c r="D43" s="20">
        <f t="shared" ref="D43:D63" si="0">B43-C43</f>
        <v>-1.9967503498012351E-2</v>
      </c>
    </row>
    <row r="44" spans="1:4" ht="15" customHeight="1" x14ac:dyDescent="0.2">
      <c r="A44" s="7" t="str">
        <f>'Data 2024'!A6</f>
        <v>Braintree</v>
      </c>
      <c r="B44" s="10">
        <f>'Data 2024'!H6</f>
        <v>0.52100000000000002</v>
      </c>
      <c r="C44" s="10">
        <f>SLOPE(C6:C26,D6:D26)*D7+INTERCEPT(C6:C26,D6:D26)</f>
        <v>0.47346819641354398</v>
      </c>
      <c r="D44" s="20">
        <f t="shared" si="0"/>
        <v>4.7531803586456034E-2</v>
      </c>
    </row>
    <row r="45" spans="1:4" ht="15" customHeight="1" x14ac:dyDescent="0.2">
      <c r="A45" s="7" t="str">
        <f>'Data 2024'!A7</f>
        <v>Bridgewater-Raynham</v>
      </c>
      <c r="B45" s="10">
        <f>'Data 2024'!H7</f>
        <v>0.40100000000000002</v>
      </c>
      <c r="C45" s="10">
        <f>SLOPE(C6:C26,D6:D26)*D8+INTERCEPT(C6:C26,D6:D26)</f>
        <v>0.48252959059693945</v>
      </c>
      <c r="D45" s="20">
        <f t="shared" si="0"/>
        <v>-8.1529590596939427E-2</v>
      </c>
    </row>
    <row r="46" spans="1:4" ht="15" customHeight="1" x14ac:dyDescent="0.2">
      <c r="A46" s="7" t="str">
        <f>'Data 2024'!A8</f>
        <v>Carver</v>
      </c>
      <c r="B46" s="10">
        <f>'Data 2024'!H8</f>
        <v>0.309</v>
      </c>
      <c r="C46" s="10">
        <f>SLOPE(C6:C26,D6:D26)*D9+INTERCEPT(C6:C26,D6:D26)</f>
        <v>0.45912098895650111</v>
      </c>
      <c r="D46" s="20">
        <f t="shared" si="0"/>
        <v>-0.15012098895650111</v>
      </c>
    </row>
    <row r="47" spans="1:4" ht="15" customHeight="1" x14ac:dyDescent="0.2">
      <c r="A47" s="7" t="str">
        <f>'Data 2024'!A9</f>
        <v>Cohasset</v>
      </c>
      <c r="B47" s="10">
        <f>'Data 2024'!H9</f>
        <v>0.67800000000000005</v>
      </c>
      <c r="C47" s="10">
        <f>SLOPE(C6:C26,D6:D26)*D10+INTERCEPT(C6:C26,D6:D26)</f>
        <v>0.63430794316881423</v>
      </c>
      <c r="D47" s="20">
        <f t="shared" si="0"/>
        <v>4.3692056831185822E-2</v>
      </c>
    </row>
    <row r="48" spans="1:4" ht="15" customHeight="1" x14ac:dyDescent="0.2">
      <c r="A48" s="7" t="str">
        <f>'Data 2024'!A10</f>
        <v>Duxbury</v>
      </c>
      <c r="B48" s="10">
        <f>'Data 2024'!H10</f>
        <v>0.61</v>
      </c>
      <c r="C48" s="10">
        <f>SLOPE(C6:C26,D6:D26)*D11+INTERCEPT(C6:C26,D6:D26)</f>
        <v>0.61618515480202329</v>
      </c>
      <c r="D48" s="20">
        <f t="shared" si="0"/>
        <v>-6.1851548020233071E-3</v>
      </c>
    </row>
    <row r="49" spans="1:4" ht="15" customHeight="1" x14ac:dyDescent="0.2">
      <c r="A49" s="7" t="str">
        <f>'Data 2024'!A11</f>
        <v>East Bridgewater</v>
      </c>
      <c r="B49" s="10">
        <f>'Data 2024'!H11</f>
        <v>0.39249999999999996</v>
      </c>
      <c r="C49" s="10">
        <f>SLOPE(C6:C26,D6:D26)*D12+INTERCEPT(C6:C26,D6:D26)</f>
        <v>0.47120284786769506</v>
      </c>
      <c r="D49" s="20">
        <f t="shared" si="0"/>
        <v>-7.8702847867695103E-2</v>
      </c>
    </row>
    <row r="50" spans="1:4" ht="15" customHeight="1" x14ac:dyDescent="0.2">
      <c r="A50" s="7" t="str">
        <f>'Data 2024'!A13</f>
        <v>Hanover</v>
      </c>
      <c r="B50" s="10">
        <f>'Data 2024'!H13</f>
        <v>0.57350000000000001</v>
      </c>
      <c r="C50" s="10">
        <f>SLOPE(C6:C26,D6:D26)*D13+INTERCEPT(C6:C26,D6:D26)</f>
        <v>0.59806236643523225</v>
      </c>
      <c r="D50" s="20">
        <f t="shared" si="0"/>
        <v>-2.4562366435232241E-2</v>
      </c>
    </row>
    <row r="51" spans="1:4" ht="15" customHeight="1" x14ac:dyDescent="0.2">
      <c r="A51" s="7" t="str">
        <f>'Data 2024'!A14</f>
        <v>Hingham</v>
      </c>
      <c r="B51" s="10">
        <f>'Data 2024'!H14</f>
        <v>0.73449999999999993</v>
      </c>
      <c r="C51" s="10">
        <f>SLOPE(C6:C26,D6:D26)*D14+INTERCEPT(C6:C26,D6:D26)</f>
        <v>0.62298120043956984</v>
      </c>
      <c r="D51" s="20">
        <f t="shared" si="0"/>
        <v>0.11151879956043009</v>
      </c>
    </row>
    <row r="52" spans="1:4" ht="15" customHeight="1" x14ac:dyDescent="0.2">
      <c r="A52" s="7" t="str">
        <f>'Data 2024'!A15</f>
        <v>Holbrook</v>
      </c>
      <c r="B52" s="10">
        <f>'Data 2024'!H15</f>
        <v>0.36099999999999999</v>
      </c>
      <c r="C52" s="10">
        <f>SLOPE(C6:C26,D6:D26)*D15+INTERCEPT(C6:C26,D6:D26)</f>
        <v>0.35113937493770458</v>
      </c>
      <c r="D52" s="20">
        <f t="shared" si="0"/>
        <v>9.8606250622954028E-3</v>
      </c>
    </row>
    <row r="53" spans="1:4" ht="15" customHeight="1" x14ac:dyDescent="0.2">
      <c r="A53" s="7" t="str">
        <f>'Data 2024'!A16</f>
        <v>Hull</v>
      </c>
      <c r="B53" s="10">
        <f>'Data 2024'!H16</f>
        <v>0.49950000000000006</v>
      </c>
      <c r="C53" s="10">
        <f>SLOPE(C6:C26,D6:D26)*D16+INTERCEPT(C6:C26,D6:D26)</f>
        <v>0.42967145786046568</v>
      </c>
      <c r="D53" s="20">
        <f t="shared" si="0"/>
        <v>6.9828542139534377E-2</v>
      </c>
    </row>
    <row r="54" spans="1:4" ht="15" customHeight="1" x14ac:dyDescent="0.2">
      <c r="A54" s="7" t="str">
        <f>'Data 2024'!A18</f>
        <v>Marshfield</v>
      </c>
      <c r="B54" s="10">
        <f>'Data 2024'!H18</f>
        <v>0.55299999999999994</v>
      </c>
      <c r="C54" s="10">
        <f>SLOPE(C6:C26,D6:D26)*D17+INTERCEPT(C6:C26,D6:D26)</f>
        <v>0.53991842042511107</v>
      </c>
      <c r="D54" s="20">
        <f t="shared" si="0"/>
        <v>1.3081579574888869E-2</v>
      </c>
    </row>
    <row r="55" spans="1:4" ht="15" customHeight="1" x14ac:dyDescent="0.2">
      <c r="A55" s="7" t="str">
        <f>'Data 2024'!A19</f>
        <v>Middleborough</v>
      </c>
      <c r="B55" s="10">
        <f>'Data 2024'!H19</f>
        <v>0.36649999999999999</v>
      </c>
      <c r="C55" s="10">
        <f>SLOPE(C6:C26,D6:D26)*D18+INTERCEPT(C6:C26,D6:D26)</f>
        <v>0.37454797657814304</v>
      </c>
      <c r="D55" s="20">
        <f t="shared" si="0"/>
        <v>-8.0479765781430457E-3</v>
      </c>
    </row>
    <row r="56" spans="1:4" ht="15" customHeight="1" x14ac:dyDescent="0.2">
      <c r="A56" s="7" t="str">
        <f>'Data 2024'!A20</f>
        <v>Norwell</v>
      </c>
      <c r="B56" s="10">
        <f>'Data 2024'!H20</f>
        <v>0.66949999999999998</v>
      </c>
      <c r="C56" s="10">
        <f>SLOPE(C6:C26,D6:D26)*D19+INTERCEPT(C6:C26,D6:D26)</f>
        <v>0.63808352407856239</v>
      </c>
      <c r="D56" s="20">
        <f t="shared" si="0"/>
        <v>3.1416475921437592E-2</v>
      </c>
    </row>
    <row r="57" spans="1:4" ht="15" customHeight="1" x14ac:dyDescent="0.2">
      <c r="A57" s="7" t="str">
        <f>'Data 2024'!A21</f>
        <v>Pembroke</v>
      </c>
      <c r="B57" s="10">
        <f>'Data 2024'!H21</f>
        <v>0.50849999999999995</v>
      </c>
      <c r="C57" s="10">
        <f>SLOPE(C6:C26,D6:D26)*D20+INTERCEPT(C6:C26,D6:D26)</f>
        <v>0.54595934988070804</v>
      </c>
      <c r="D57" s="20">
        <f t="shared" si="0"/>
        <v>-3.7459349880708093E-2</v>
      </c>
    </row>
    <row r="58" spans="1:4" ht="15" customHeight="1" x14ac:dyDescent="0.2">
      <c r="A58" s="7" t="str">
        <f>'Data 2024'!A22</f>
        <v>Plymouth</v>
      </c>
      <c r="B58" s="10">
        <f>'Data 2024'!H22</f>
        <v>0.41700000000000004</v>
      </c>
      <c r="C58" s="10">
        <f>SLOPE(C6:C26,D6:D26)*D21+INTERCEPT(C6:C26,D6:D26)</f>
        <v>0.44401866531750855</v>
      </c>
      <c r="D58" s="20">
        <f t="shared" si="0"/>
        <v>-2.7018665317508517E-2</v>
      </c>
    </row>
    <row r="59" spans="1:4" ht="15" customHeight="1" x14ac:dyDescent="0.2">
      <c r="A59" s="7" t="str">
        <f>'Data 2024'!A23</f>
        <v>Quincy</v>
      </c>
      <c r="B59" s="10">
        <f>'Data 2024'!H23</f>
        <v>0.42749999999999999</v>
      </c>
      <c r="C59" s="10">
        <f>SLOPE(C6:C26,D6:D26)*D22+INTERCEPT(C6:C26,D6:D26)</f>
        <v>0.32546542475141732</v>
      </c>
      <c r="D59" s="20">
        <f t="shared" si="0"/>
        <v>0.10203457524858267</v>
      </c>
    </row>
    <row r="60" spans="1:4" ht="15" customHeight="1" x14ac:dyDescent="0.2">
      <c r="A60" s="7" t="str">
        <f>'Data 2024'!A24</f>
        <v>Rockland</v>
      </c>
      <c r="B60" s="10">
        <f>'Data 2024'!H24</f>
        <v>0.38100000000000001</v>
      </c>
      <c r="C60" s="10">
        <f>SLOPE(C6:C26,D6:D26)*D23+INTERCEPT(C6:C26,D6:D26)</f>
        <v>0.32546542475141732</v>
      </c>
      <c r="D60" s="20">
        <f t="shared" si="0"/>
        <v>5.5534575248582685E-2</v>
      </c>
    </row>
    <row r="61" spans="1:4" ht="15" customHeight="1" x14ac:dyDescent="0.2">
      <c r="A61" s="7" t="str">
        <f>'Data 2024'!A25</f>
        <v>Scituate</v>
      </c>
      <c r="B61" s="10">
        <f>'Data 2024'!H25</f>
        <v>0.59749999999999992</v>
      </c>
      <c r="C61" s="10">
        <f>SLOPE(C6:C26,D6:D26)*D24+INTERCEPT(C6:C26,D6:D26)</f>
        <v>0.59277655316158484</v>
      </c>
      <c r="D61" s="20">
        <f t="shared" si="0"/>
        <v>4.7234468384150796E-3</v>
      </c>
    </row>
    <row r="62" spans="1:4" ht="15" customHeight="1" x14ac:dyDescent="0.2">
      <c r="A62" s="7" t="str">
        <f>'Data 2024'!A27</f>
        <v>Weymouth</v>
      </c>
      <c r="B62" s="10">
        <f>'Data 2024'!H27</f>
        <v>0.39200000000000002</v>
      </c>
      <c r="C62" s="10">
        <f>SLOPE(C6:C26,D6:D26)*D25+INTERCEPT(C6:C26,D6:D26)</f>
        <v>0.37605820894204223</v>
      </c>
      <c r="D62" s="20">
        <f t="shared" si="0"/>
        <v>1.5941791057957788E-2</v>
      </c>
    </row>
    <row r="63" spans="1:4" ht="15" customHeight="1" x14ac:dyDescent="0.2">
      <c r="A63" s="7" t="str">
        <f>'Data 2024'!A28</f>
        <v>Whitman-Hanson</v>
      </c>
      <c r="B63" s="10">
        <f>'Data 2024'!H28</f>
        <v>0.38</v>
      </c>
      <c r="C63" s="10">
        <f>SLOPE(C6:C26,D6:D26)*D26+INTERCEPT(C6:C26,D6:D26)</f>
        <v>0.45156982713700483</v>
      </c>
      <c r="D63" s="20">
        <f t="shared" si="0"/>
        <v>-7.1569827137004827E-2</v>
      </c>
    </row>
    <row r="66" spans="1:6" ht="15" customHeight="1" x14ac:dyDescent="0.2">
      <c r="A66" s="25" t="s">
        <v>78</v>
      </c>
    </row>
    <row r="67" spans="1:6" ht="15" customHeight="1" x14ac:dyDescent="0.2">
      <c r="A67" s="3" t="s">
        <v>79</v>
      </c>
      <c r="B67" s="3"/>
      <c r="C67" s="3"/>
      <c r="D67" s="3"/>
      <c r="E67" s="3"/>
      <c r="F67" s="3"/>
    </row>
    <row r="68" spans="1:6" ht="15" customHeight="1" x14ac:dyDescent="0.2">
      <c r="A68" s="3" t="s">
        <v>80</v>
      </c>
      <c r="B68" s="3"/>
      <c r="C68" s="3"/>
      <c r="D68" s="3"/>
      <c r="E68" s="3"/>
      <c r="F68" s="3"/>
    </row>
    <row r="69" spans="1:6" ht="15" customHeight="1" x14ac:dyDescent="0.2">
      <c r="A69" s="3" t="s">
        <v>81</v>
      </c>
      <c r="B69" s="3"/>
      <c r="C69" s="3"/>
      <c r="D69" s="3"/>
      <c r="E69" s="3"/>
      <c r="F69" s="3"/>
    </row>
    <row r="71" spans="1:6" ht="23.25" customHeight="1" x14ac:dyDescent="0.2">
      <c r="A71" s="6" t="s">
        <v>2</v>
      </c>
      <c r="B71" s="6" t="s">
        <v>9</v>
      </c>
      <c r="C71" s="6" t="s">
        <v>10</v>
      </c>
      <c r="D71" s="6" t="s">
        <v>12</v>
      </c>
      <c r="E71" s="6" t="s">
        <v>11</v>
      </c>
      <c r="F71" s="6" t="s">
        <v>5</v>
      </c>
    </row>
    <row r="72" spans="1:6" ht="15" customHeight="1" x14ac:dyDescent="0.2">
      <c r="A72" s="7" t="str">
        <f>'Data 2024'!A5</f>
        <v>Abington</v>
      </c>
      <c r="B72" s="10">
        <f>'Data 2024'!H5</f>
        <v>0.41649999999999998</v>
      </c>
      <c r="C72" s="10">
        <f>'Data 2024'!I5</f>
        <v>0.32500000000000001</v>
      </c>
      <c r="D72" s="10">
        <f>'Data 2024'!K5</f>
        <v>0.188</v>
      </c>
      <c r="E72" s="10">
        <f>'Data 2024'!J5</f>
        <v>0.11700000000000001</v>
      </c>
      <c r="F72" s="9">
        <f>'Data 2024'!D5</f>
        <v>17097</v>
      </c>
    </row>
    <row r="73" spans="1:6" ht="15" customHeight="1" x14ac:dyDescent="0.2">
      <c r="A73" s="7" t="str">
        <f>'Data 2024'!A6</f>
        <v>Braintree</v>
      </c>
      <c r="B73" s="10">
        <f>'Data 2024'!H6</f>
        <v>0.52100000000000002</v>
      </c>
      <c r="C73" s="10">
        <f>'Data 2024'!I6</f>
        <v>0.27600000000000002</v>
      </c>
      <c r="D73" s="10">
        <f>'Data 2024'!K6</f>
        <v>0.224</v>
      </c>
      <c r="E73" s="10">
        <f>'Data 2024'!J6</f>
        <v>7.4999999999999997E-2</v>
      </c>
      <c r="F73" s="9">
        <f>'Data 2024'!D6</f>
        <v>19549</v>
      </c>
    </row>
    <row r="74" spans="1:6" ht="15" customHeight="1" x14ac:dyDescent="0.2">
      <c r="A74" s="7" t="str">
        <f>'Data 2024'!A7</f>
        <v>Bridgewater-Raynham</v>
      </c>
      <c r="B74" s="10">
        <f>'Data 2024'!H7</f>
        <v>0.40100000000000002</v>
      </c>
      <c r="C74" s="10">
        <f>'Data 2024'!I7</f>
        <v>0.26400000000000001</v>
      </c>
      <c r="D74" s="10">
        <f>'Data 2024'!K7</f>
        <v>0.19900000000000001</v>
      </c>
      <c r="E74" s="10">
        <f>'Data 2024'!J7</f>
        <v>3.4000000000000002E-2</v>
      </c>
      <c r="F74" s="9">
        <f>'Data 2024'!D7</f>
        <v>16125</v>
      </c>
    </row>
    <row r="75" spans="1:6" ht="15" customHeight="1" x14ac:dyDescent="0.2">
      <c r="A75" s="7" t="str">
        <f>'Data 2024'!A8</f>
        <v>Carver</v>
      </c>
      <c r="B75" s="10">
        <f>'Data 2024'!H8</f>
        <v>0.309</v>
      </c>
      <c r="C75" s="10">
        <f>'Data 2024'!I8</f>
        <v>0.29499999999999998</v>
      </c>
      <c r="D75" s="10">
        <f>'Data 2024'!K8</f>
        <v>0.19700000000000001</v>
      </c>
      <c r="E75" s="10">
        <f>'Data 2024'!J8</f>
        <v>1.9E-2</v>
      </c>
      <c r="F75" s="9">
        <f>'Data 2024'!D8</f>
        <v>19247</v>
      </c>
    </row>
    <row r="76" spans="1:6" ht="15" customHeight="1" x14ac:dyDescent="0.2">
      <c r="A76" s="7" t="str">
        <f>'Data 2024'!A9</f>
        <v>Cohasset</v>
      </c>
      <c r="B76" s="10">
        <f>'Data 2024'!H9</f>
        <v>0.67800000000000005</v>
      </c>
      <c r="C76" s="10">
        <f>'Data 2024'!I9</f>
        <v>6.3E-2</v>
      </c>
      <c r="D76" s="10">
        <f>'Data 2024'!K9</f>
        <v>0.17</v>
      </c>
      <c r="E76" s="10">
        <f>'Data 2024'!J9</f>
        <v>3.0000000000000001E-3</v>
      </c>
      <c r="F76" s="9">
        <f>'Data 2024'!D9</f>
        <v>22516</v>
      </c>
    </row>
    <row r="77" spans="1:6" ht="15" customHeight="1" x14ac:dyDescent="0.2">
      <c r="A77" s="7" t="str">
        <f>'Data 2024'!A10</f>
        <v>Duxbury</v>
      </c>
      <c r="B77" s="10">
        <f>'Data 2024'!H10</f>
        <v>0.61</v>
      </c>
      <c r="C77" s="10">
        <f>'Data 2024'!I10</f>
        <v>8.6999999999999994E-2</v>
      </c>
      <c r="D77" s="10">
        <f>'Data 2024'!K10</f>
        <v>0.16800000000000001</v>
      </c>
      <c r="E77" s="10">
        <f>'Data 2024'!J10</f>
        <v>6.0000000000000001E-3</v>
      </c>
      <c r="F77" s="9">
        <f>'Data 2024'!D10</f>
        <v>20115</v>
      </c>
    </row>
    <row r="78" spans="1:6" ht="15" customHeight="1" x14ac:dyDescent="0.2">
      <c r="A78" s="7" t="str">
        <f>'Data 2024'!A11</f>
        <v>East Bridgewater</v>
      </c>
      <c r="B78" s="10">
        <f>'Data 2024'!H11</f>
        <v>0.39249999999999996</v>
      </c>
      <c r="C78" s="10">
        <f>'Data 2024'!I11</f>
        <v>0.27900000000000003</v>
      </c>
      <c r="D78" s="10">
        <f>'Data 2024'!K11</f>
        <v>0.193</v>
      </c>
      <c r="E78" s="10">
        <f>'Data 2024'!J11</f>
        <v>3.1E-2</v>
      </c>
      <c r="F78" s="9">
        <f>'Data 2024'!D11</f>
        <v>17593</v>
      </c>
    </row>
    <row r="79" spans="1:6" ht="15" customHeight="1" x14ac:dyDescent="0.2">
      <c r="A79" s="7" t="str">
        <f>'Data 2024'!A13</f>
        <v>Hanover</v>
      </c>
      <c r="B79" s="10">
        <f>'Data 2024'!H13</f>
        <v>0.57350000000000001</v>
      </c>
      <c r="C79" s="10">
        <f>'Data 2024'!I13</f>
        <v>0.111</v>
      </c>
      <c r="D79" s="10">
        <f>'Data 2024'!K13</f>
        <v>0.224</v>
      </c>
      <c r="E79" s="10">
        <f>'Data 2024'!J13</f>
        <v>1.7000000000000001E-2</v>
      </c>
      <c r="F79" s="9">
        <f>'Data 2024'!D13</f>
        <v>16823</v>
      </c>
    </row>
    <row r="80" spans="1:6" ht="15" customHeight="1" x14ac:dyDescent="0.2">
      <c r="A80" s="7" t="str">
        <f>'Data 2024'!A14</f>
        <v>Hingham</v>
      </c>
      <c r="B80" s="10">
        <f>'Data 2024'!H14</f>
        <v>0.73449999999999993</v>
      </c>
      <c r="C80" s="10">
        <f>'Data 2024'!I14</f>
        <v>7.8E-2</v>
      </c>
      <c r="D80" s="10">
        <f>'Data 2024'!K14</f>
        <v>0.183</v>
      </c>
      <c r="E80" s="10">
        <f>'Data 2024'!J14</f>
        <v>7.0000000000000001E-3</v>
      </c>
      <c r="F80" s="9">
        <f>'Data 2024'!D14</f>
        <v>20479</v>
      </c>
    </row>
    <row r="81" spans="1:6" ht="15" customHeight="1" x14ac:dyDescent="0.2">
      <c r="A81" s="7" t="str">
        <f>'Data 2024'!A15</f>
        <v>Holbrook</v>
      </c>
      <c r="B81" s="10">
        <f>'Data 2024'!H15</f>
        <v>0.36099999999999999</v>
      </c>
      <c r="C81" s="10">
        <f>'Data 2024'!I15</f>
        <v>0.438</v>
      </c>
      <c r="D81" s="10">
        <f>'Data 2024'!K15</f>
        <v>0.22</v>
      </c>
      <c r="E81" s="10">
        <f>'Data 2024'!J15</f>
        <v>8.7999999999999995E-2</v>
      </c>
      <c r="F81" s="9">
        <f>'Data 2024'!D15</f>
        <v>17567</v>
      </c>
    </row>
    <row r="82" spans="1:6" ht="15" customHeight="1" x14ac:dyDescent="0.2">
      <c r="A82" s="7" t="str">
        <f>'Data 2024'!A16</f>
        <v>Hull</v>
      </c>
      <c r="B82" s="10">
        <f>'Data 2024'!H16</f>
        <v>0.49950000000000006</v>
      </c>
      <c r="C82" s="10">
        <f>'Data 2024'!I16</f>
        <v>0.33400000000000002</v>
      </c>
      <c r="D82" s="10">
        <f>'Data 2024'!K16</f>
        <v>0.218</v>
      </c>
      <c r="E82" s="10">
        <f>'Data 2024'!J16</f>
        <v>1.6E-2</v>
      </c>
      <c r="F82" s="9">
        <f>'Data 2024'!D16</f>
        <v>31139</v>
      </c>
    </row>
    <row r="83" spans="1:6" ht="15" customHeight="1" x14ac:dyDescent="0.2">
      <c r="A83" s="7" t="str">
        <f>'Data 2024'!A18</f>
        <v>Marshfield</v>
      </c>
      <c r="B83" s="10">
        <f>'Data 2024'!H18</f>
        <v>0.55299999999999994</v>
      </c>
      <c r="C83" s="10">
        <f>'Data 2024'!I18</f>
        <v>0.188</v>
      </c>
      <c r="D83" s="10">
        <f>'Data 2024'!K18</f>
        <v>0.20200000000000001</v>
      </c>
      <c r="E83" s="10">
        <f>'Data 2024'!J18</f>
        <v>2.8000000000000001E-2</v>
      </c>
      <c r="F83" s="9">
        <f>'Data 2024'!D18</f>
        <v>19487</v>
      </c>
    </row>
    <row r="84" spans="1:6" ht="15" customHeight="1" x14ac:dyDescent="0.2">
      <c r="A84" s="7" t="str">
        <f>'Data 2024'!A19</f>
        <v>Middleborough</v>
      </c>
      <c r="B84" s="10">
        <f>'Data 2024'!H19</f>
        <v>0.36649999999999999</v>
      </c>
      <c r="C84" s="10">
        <f>'Data 2024'!I19</f>
        <v>0.40699999999999997</v>
      </c>
      <c r="D84" s="10">
        <f>'Data 2024'!K19</f>
        <v>0.19400000000000001</v>
      </c>
      <c r="E84" s="10">
        <f>'Data 2024'!J19</f>
        <v>3.4000000000000002E-2</v>
      </c>
      <c r="F84" s="9">
        <f>'Data 2024'!D19</f>
        <v>19536</v>
      </c>
    </row>
    <row r="85" spans="1:6" ht="15" customHeight="1" x14ac:dyDescent="0.2">
      <c r="A85" s="7" t="str">
        <f>'Data 2024'!A20</f>
        <v>Norwell</v>
      </c>
      <c r="B85" s="10">
        <f>'Data 2024'!H20</f>
        <v>0.66949999999999998</v>
      </c>
      <c r="C85" s="10">
        <f>'Data 2024'!I20</f>
        <v>5.8000000000000003E-2</v>
      </c>
      <c r="D85" s="10">
        <f>'Data 2024'!K20</f>
        <v>0.16200000000000001</v>
      </c>
      <c r="E85" s="10">
        <f>'Data 2024'!J20</f>
        <v>4.0000000000000001E-3</v>
      </c>
      <c r="F85" s="9">
        <f>'Data 2024'!D20</f>
        <v>19525</v>
      </c>
    </row>
    <row r="86" spans="1:6" ht="15" customHeight="1" x14ac:dyDescent="0.2">
      <c r="A86" s="7" t="str">
        <f>'Data 2024'!A21</f>
        <v>Pembroke</v>
      </c>
      <c r="B86" s="10">
        <f>'Data 2024'!H21</f>
        <v>0.50849999999999995</v>
      </c>
      <c r="C86" s="10">
        <f>'Data 2024'!I21</f>
        <v>0.18</v>
      </c>
      <c r="D86" s="10">
        <f>'Data 2024'!K21</f>
        <v>0.188</v>
      </c>
      <c r="E86" s="10">
        <f>'Data 2024'!J21</f>
        <v>0.02</v>
      </c>
      <c r="F86" s="9">
        <f>'Data 2024'!D21</f>
        <v>18911</v>
      </c>
    </row>
    <row r="87" spans="1:6" ht="15" customHeight="1" x14ac:dyDescent="0.2">
      <c r="A87" s="7" t="str">
        <f>'Data 2024'!A22</f>
        <v>Plymouth</v>
      </c>
      <c r="B87" s="10">
        <f>'Data 2024'!H22</f>
        <v>0.41700000000000004</v>
      </c>
      <c r="C87" s="10">
        <f>'Data 2024'!I22</f>
        <v>0.315</v>
      </c>
      <c r="D87" s="10">
        <f>'Data 2024'!K22</f>
        <v>0.219</v>
      </c>
      <c r="E87" s="10">
        <f>'Data 2024'!J22</f>
        <v>5.6000000000000001E-2</v>
      </c>
      <c r="F87" s="9">
        <f>'Data 2024'!D22</f>
        <v>22128</v>
      </c>
    </row>
    <row r="88" spans="1:6" ht="15" customHeight="1" x14ac:dyDescent="0.2">
      <c r="A88" s="7" t="str">
        <f>'Data 2024'!A23</f>
        <v>Quincy</v>
      </c>
      <c r="B88" s="10">
        <f>'Data 2024'!H23</f>
        <v>0.42749999999999999</v>
      </c>
      <c r="C88" s="10">
        <f>'Data 2024'!I23</f>
        <v>0.47199999999999998</v>
      </c>
      <c r="D88" s="10">
        <f>'Data 2024'!K23</f>
        <v>0.20899999999999999</v>
      </c>
      <c r="E88" s="10">
        <f>'Data 2024'!J23</f>
        <v>0.17</v>
      </c>
      <c r="F88" s="9">
        <f>'Data 2024'!D23</f>
        <v>20257</v>
      </c>
    </row>
    <row r="89" spans="1:6" ht="15" customHeight="1" x14ac:dyDescent="0.2">
      <c r="A89" s="7" t="str">
        <f>'Data 2024'!A24</f>
        <v>Rockland</v>
      </c>
      <c r="B89" s="10">
        <f>'Data 2024'!H24</f>
        <v>0.38100000000000001</v>
      </c>
      <c r="C89" s="10">
        <f>'Data 2024'!I24</f>
        <v>0.47199999999999998</v>
      </c>
      <c r="D89" s="10">
        <f>'Data 2024'!K24</f>
        <v>0.19800000000000001</v>
      </c>
      <c r="E89" s="10">
        <f>'Data 2024'!J24</f>
        <v>0.113</v>
      </c>
      <c r="F89" s="9">
        <f>'Data 2024'!D24</f>
        <v>21153</v>
      </c>
    </row>
    <row r="90" spans="1:6" ht="15" customHeight="1" x14ac:dyDescent="0.2">
      <c r="A90" s="7" t="str">
        <f>'Data 2024'!A25</f>
        <v>Scituate</v>
      </c>
      <c r="B90" s="10">
        <f>'Data 2024'!H25</f>
        <v>0.59749999999999992</v>
      </c>
      <c r="C90" s="10">
        <f>'Data 2024'!I25</f>
        <v>0.11799999999999999</v>
      </c>
      <c r="D90" s="10">
        <f>'Data 2024'!K25</f>
        <v>0.185</v>
      </c>
      <c r="E90" s="10">
        <f>'Data 2024'!J25</f>
        <v>4.0000000000000001E-3</v>
      </c>
      <c r="F90" s="9">
        <f>'Data 2024'!D25</f>
        <v>20435</v>
      </c>
    </row>
    <row r="91" spans="1:6" ht="15" customHeight="1" x14ac:dyDescent="0.2">
      <c r="A91" s="7" t="str">
        <f>'Data 2024'!A27</f>
        <v>Weymouth</v>
      </c>
      <c r="B91" s="10">
        <f>'Data 2024'!H27</f>
        <v>0.39200000000000002</v>
      </c>
      <c r="C91" s="10">
        <f>'Data 2024'!I27</f>
        <v>0.40500000000000003</v>
      </c>
      <c r="D91" s="10">
        <f>'Data 2024'!K27</f>
        <v>0.22900000000000001</v>
      </c>
      <c r="E91" s="10">
        <f>'Data 2024'!J27</f>
        <v>0.08</v>
      </c>
      <c r="F91" s="9">
        <f>'Data 2024'!D27</f>
        <v>19597</v>
      </c>
    </row>
    <row r="92" spans="1:6" ht="15" customHeight="1" x14ac:dyDescent="0.2">
      <c r="A92" s="11" t="str">
        <f>'Data 2024'!A28</f>
        <v>Whitman-Hanson</v>
      </c>
      <c r="B92" s="14">
        <f>'Data 2024'!H28</f>
        <v>0.38</v>
      </c>
      <c r="C92" s="14">
        <f>'Data 2024'!I28</f>
        <v>0.30499999999999999</v>
      </c>
      <c r="D92" s="14">
        <f>'Data 2024'!K28</f>
        <v>0.16500000000000001</v>
      </c>
      <c r="E92" s="14">
        <f>'Data 2024'!J28</f>
        <v>6.3E-2</v>
      </c>
      <c r="F92" s="13">
        <f>'Data 2024'!D28</f>
        <v>18079</v>
      </c>
    </row>
    <row r="94" spans="1:6" ht="15" customHeight="1" x14ac:dyDescent="0.2">
      <c r="A94" s="25" t="s">
        <v>82</v>
      </c>
    </row>
    <row r="95" spans="1:6" ht="15" customHeight="1" x14ac:dyDescent="0.2">
      <c r="A95" s="26" t="s">
        <v>83</v>
      </c>
      <c r="B95" s="30">
        <f>INDEX(LINEST($B$72:$B$92,$C$72:$F$92,TRUE(),FALSE()),1,5)</f>
        <v>0.37767483448871469</v>
      </c>
    </row>
    <row r="96" spans="1:6" ht="15" customHeight="1" x14ac:dyDescent="0.2">
      <c r="A96" s="26" t="s">
        <v>84</v>
      </c>
      <c r="B96" s="30">
        <f>INDEX(LINEST($B$72:$B$92,$C$72:$F$92,TRUE(),FALSE()),1,4)</f>
        <v>-1.158883049473487</v>
      </c>
    </row>
    <row r="97" spans="1:5" ht="15" customHeight="1" x14ac:dyDescent="0.2">
      <c r="A97" s="26" t="s">
        <v>85</v>
      </c>
      <c r="B97" s="30">
        <f>INDEX(LINEST($B$72:$B$92,$C$72:$F$92,TRUE(),FALSE()),1,3)</f>
        <v>0.37912697582810262</v>
      </c>
    </row>
    <row r="98" spans="1:5" ht="15" customHeight="1" x14ac:dyDescent="0.2">
      <c r="A98" s="26" t="s">
        <v>86</v>
      </c>
      <c r="B98" s="30">
        <f>INDEX(LINEST($B$72:$B$92,$C$72:$F$92,TRUE(),FALSE()),1,2)</f>
        <v>1.3819334947748116</v>
      </c>
    </row>
    <row r="99" spans="1:5" ht="15" customHeight="1" x14ac:dyDescent="0.2">
      <c r="A99" s="26" t="s">
        <v>87</v>
      </c>
      <c r="B99" s="30">
        <f>INDEX(LINEST($B$72:$B$92,$C$72:$F$92,TRUE(),FALSE()),1,1)</f>
        <v>1.3580724986593214E-5</v>
      </c>
    </row>
    <row r="100" spans="1:5" ht="15" customHeight="1" x14ac:dyDescent="0.2">
      <c r="A100" s="26" t="s">
        <v>88</v>
      </c>
      <c r="B100" s="31">
        <f>INDEX(LINEST($B$72:$B$92,$C$72:$F$92,TRUE(),TRUE()),3,1)</f>
        <v>0.88187549508117336</v>
      </c>
    </row>
    <row r="101" spans="1:5" ht="15" customHeight="1" x14ac:dyDescent="0.2">
      <c r="A101" s="26" t="s">
        <v>89</v>
      </c>
      <c r="B101" s="31">
        <f>RSQ($B$72:$B$92,$C$72:$C$92)</f>
        <v>0.72839843329531717</v>
      </c>
    </row>
    <row r="104" spans="1:5" ht="15" customHeight="1" x14ac:dyDescent="0.2">
      <c r="A104" s="25" t="s">
        <v>90</v>
      </c>
    </row>
    <row r="105" spans="1:5" ht="15" customHeight="1" x14ac:dyDescent="0.2">
      <c r="A105" s="3" t="s">
        <v>91</v>
      </c>
      <c r="B105" s="3"/>
      <c r="C105" s="3"/>
      <c r="D105" s="3"/>
      <c r="E105" s="3"/>
    </row>
    <row r="106" spans="1:5" ht="15" customHeight="1" x14ac:dyDescent="0.2">
      <c r="A106" s="6" t="s">
        <v>2</v>
      </c>
      <c r="B106" s="6" t="s">
        <v>75</v>
      </c>
      <c r="C106" s="6" t="s">
        <v>92</v>
      </c>
      <c r="D106" s="6" t="s">
        <v>77</v>
      </c>
      <c r="E106" s="6" t="s">
        <v>93</v>
      </c>
    </row>
    <row r="107" spans="1:5" ht="15" customHeight="1" x14ac:dyDescent="0.2">
      <c r="A107" s="7" t="str">
        <f>'Data 2024'!A5</f>
        <v>Abington</v>
      </c>
      <c r="B107" s="10">
        <f>'Data 2024'!H5</f>
        <v>0.41649999999999998</v>
      </c>
      <c r="C107" s="10">
        <f t="shared" ref="C107:C127" si="1">$B$95+$B$96*C72+$B$97*D72+$B$98*E72+$B$99*F72</f>
        <v>0.46618958884995187</v>
      </c>
      <c r="D107" s="20">
        <f t="shared" ref="D107:D127" si="2">B107-C107</f>
        <v>-4.9689588849951893E-2</v>
      </c>
      <c r="E107" s="32">
        <f t="shared" ref="E107:E127" si="3">RANK(D107,$D$107:$D$127)</f>
        <v>19</v>
      </c>
    </row>
    <row r="108" spans="1:5" ht="15" customHeight="1" x14ac:dyDescent="0.2">
      <c r="A108" s="7" t="str">
        <f>'Data 2024'!A6</f>
        <v>Braintree</v>
      </c>
      <c r="B108" s="10">
        <f>'Data 2024'!H6</f>
        <v>0.52100000000000002</v>
      </c>
      <c r="C108" s="10">
        <f t="shared" si="1"/>
        <v>0.51188216029054878</v>
      </c>
      <c r="D108" s="20">
        <f t="shared" si="2"/>
        <v>9.1178397094512365E-3</v>
      </c>
      <c r="E108" s="32">
        <f t="shared" si="3"/>
        <v>8</v>
      </c>
    </row>
    <row r="109" spans="1:5" ht="15" customHeight="1" x14ac:dyDescent="0.2">
      <c r="A109" s="7" t="str">
        <f>'Data 2024'!A7</f>
        <v>Bridgewater-Raynham</v>
      </c>
      <c r="B109" s="10">
        <f>'Data 2024'!H7</f>
        <v>0.40100000000000002</v>
      </c>
      <c r="C109" s="10">
        <f t="shared" si="1"/>
        <v>0.41315090684866573</v>
      </c>
      <c r="D109" s="20">
        <f t="shared" si="2"/>
        <v>-1.215090684866571E-2</v>
      </c>
      <c r="E109" s="32">
        <f t="shared" si="3"/>
        <v>13</v>
      </c>
    </row>
    <row r="110" spans="1:5" ht="15" customHeight="1" x14ac:dyDescent="0.2">
      <c r="A110" s="7" t="str">
        <f>'Data 2024'!A8</f>
        <v>Carver</v>
      </c>
      <c r="B110" s="10">
        <f>'Data 2024'!H8</f>
        <v>0.309</v>
      </c>
      <c r="C110" s="10">
        <f t="shared" si="1"/>
        <v>0.39813729934985331</v>
      </c>
      <c r="D110" s="20">
        <f t="shared" si="2"/>
        <v>-8.9137299349853316E-2</v>
      </c>
      <c r="E110" s="32">
        <f t="shared" si="3"/>
        <v>21</v>
      </c>
    </row>
    <row r="111" spans="1:5" ht="15" customHeight="1" x14ac:dyDescent="0.2">
      <c r="A111" s="7" t="str">
        <f>'Data 2024'!A9</f>
        <v>Cohasset</v>
      </c>
      <c r="B111" s="10">
        <f>'Data 2024'!H9</f>
        <v>0.67800000000000005</v>
      </c>
      <c r="C111" s="10">
        <f t="shared" si="1"/>
        <v>0.67904619254511966</v>
      </c>
      <c r="D111" s="20">
        <f t="shared" si="2"/>
        <v>-1.0461925451196175E-3</v>
      </c>
      <c r="E111" s="32">
        <f t="shared" si="3"/>
        <v>11</v>
      </c>
    </row>
    <row r="112" spans="1:5" ht="15" customHeight="1" x14ac:dyDescent="0.2">
      <c r="A112" s="7" t="str">
        <f>'Data 2024'!A10</f>
        <v>Duxbury</v>
      </c>
      <c r="B112" s="10">
        <f>'Data 2024'!H10</f>
        <v>0.61</v>
      </c>
      <c r="C112" s="10">
        <f t="shared" si="1"/>
        <v>0.62201322519761404</v>
      </c>
      <c r="D112" s="20">
        <f t="shared" si="2"/>
        <v>-1.2013225197614052E-2</v>
      </c>
      <c r="E112" s="32">
        <f t="shared" si="3"/>
        <v>12</v>
      </c>
    </row>
    <row r="113" spans="1:5" ht="15" customHeight="1" x14ac:dyDescent="0.2">
      <c r="A113" s="7" t="str">
        <f>'Data 2024'!A11</f>
        <v>East Bridgewater</v>
      </c>
      <c r="B113" s="10">
        <f>'Data 2024'!H11</f>
        <v>0.39249999999999996</v>
      </c>
      <c r="C113" s="10">
        <f t="shared" si="1"/>
        <v>0.40928360304758915</v>
      </c>
      <c r="D113" s="20">
        <f t="shared" si="2"/>
        <v>-1.6783603047589191E-2</v>
      </c>
      <c r="E113" s="32">
        <f t="shared" si="3"/>
        <v>16</v>
      </c>
    </row>
    <row r="114" spans="1:5" ht="15" customHeight="1" x14ac:dyDescent="0.2">
      <c r="A114" s="7" t="str">
        <f>'Data 2024'!A13</f>
        <v>Hanover</v>
      </c>
      <c r="B114" s="10">
        <f>'Data 2024'!H13</f>
        <v>0.57350000000000001</v>
      </c>
      <c r="C114" s="10">
        <f t="shared" si="1"/>
        <v>0.58592466444328206</v>
      </c>
      <c r="D114" s="20">
        <f t="shared" si="2"/>
        <v>-1.2424664443282052E-2</v>
      </c>
      <c r="E114" s="32">
        <f t="shared" si="3"/>
        <v>14</v>
      </c>
    </row>
    <row r="115" spans="1:5" ht="15" customHeight="1" x14ac:dyDescent="0.2">
      <c r="A115" s="7" t="str">
        <f>'Data 2024'!A14</f>
        <v>Hingham</v>
      </c>
      <c r="B115" s="10">
        <f>'Data 2024'!H14</f>
        <v>0.73449999999999993</v>
      </c>
      <c r="C115" s="10">
        <f t="shared" si="1"/>
        <v>0.64445539467019164</v>
      </c>
      <c r="D115" s="20">
        <f t="shared" si="2"/>
        <v>9.0044605329808292E-2</v>
      </c>
      <c r="E115" s="32">
        <f t="shared" si="3"/>
        <v>1</v>
      </c>
    </row>
    <row r="116" spans="1:5" ht="15" customHeight="1" x14ac:dyDescent="0.2">
      <c r="A116" s="7" t="str">
        <f>'Data 2024'!A15</f>
        <v>Holbrook</v>
      </c>
      <c r="B116" s="10">
        <f>'Data 2024'!H15</f>
        <v>0.36099999999999999</v>
      </c>
      <c r="C116" s="10">
        <f t="shared" si="1"/>
        <v>0.31367473688117642</v>
      </c>
      <c r="D116" s="20">
        <f t="shared" si="2"/>
        <v>4.7325263118823568E-2</v>
      </c>
      <c r="E116" s="32">
        <f t="shared" si="3"/>
        <v>3</v>
      </c>
    </row>
    <row r="117" spans="1:5" ht="15" customHeight="1" x14ac:dyDescent="0.2">
      <c r="A117" s="7" t="str">
        <f>'Data 2024'!A16</f>
        <v>Hull</v>
      </c>
      <c r="B117" s="10">
        <f>'Data 2024'!H16</f>
        <v>0.49950000000000006</v>
      </c>
      <c r="C117" s="10">
        <f t="shared" si="1"/>
        <v>0.51825870796901952</v>
      </c>
      <c r="D117" s="20">
        <f t="shared" si="2"/>
        <v>-1.8758707969019461E-2</v>
      </c>
      <c r="E117" s="32">
        <f t="shared" si="3"/>
        <v>17</v>
      </c>
    </row>
    <row r="118" spans="1:5" ht="15" customHeight="1" x14ac:dyDescent="0.2">
      <c r="A118" s="7" t="str">
        <f>'Data 2024'!A18</f>
        <v>Marshfield</v>
      </c>
      <c r="B118" s="10">
        <f>'Data 2024'!H18</f>
        <v>0.55299999999999994</v>
      </c>
      <c r="C118" s="10">
        <f t="shared" si="1"/>
        <v>0.53973019597241256</v>
      </c>
      <c r="D118" s="20">
        <f t="shared" si="2"/>
        <v>1.3269804027587373E-2</v>
      </c>
      <c r="E118" s="32">
        <f t="shared" si="3"/>
        <v>7</v>
      </c>
    </row>
    <row r="119" spans="1:5" ht="15" customHeight="1" x14ac:dyDescent="0.2">
      <c r="A119" s="7" t="str">
        <f>'Data 2024'!A19</f>
        <v>Middleborough</v>
      </c>
      <c r="B119" s="10">
        <f>'Data 2024'!H19</f>
        <v>0.36649999999999999</v>
      </c>
      <c r="C119" s="10">
        <f t="shared" si="1"/>
        <v>0.29185884882408608</v>
      </c>
      <c r="D119" s="20">
        <f t="shared" si="2"/>
        <v>7.4641151175913911E-2</v>
      </c>
      <c r="E119" s="32">
        <f t="shared" si="3"/>
        <v>2</v>
      </c>
    </row>
    <row r="120" spans="1:5" ht="15" customHeight="1" x14ac:dyDescent="0.2">
      <c r="A120" s="7" t="str">
        <f>'Data 2024'!A20</f>
        <v>Norwell</v>
      </c>
      <c r="B120" s="10">
        <f>'Data 2024'!H20</f>
        <v>0.66949999999999998</v>
      </c>
      <c r="C120" s="10">
        <f t="shared" si="1"/>
        <v>0.64256957704573681</v>
      </c>
      <c r="D120" s="20">
        <f t="shared" si="2"/>
        <v>2.6930422954263178E-2</v>
      </c>
      <c r="E120" s="32">
        <f t="shared" si="3"/>
        <v>5</v>
      </c>
    </row>
    <row r="121" spans="1:5" ht="15" customHeight="1" x14ac:dyDescent="0.2">
      <c r="A121" s="7" t="str">
        <f>'Data 2024'!A21</f>
        <v>Pembroke</v>
      </c>
      <c r="B121" s="10">
        <f>'Data 2024'!H21</f>
        <v>0.50849999999999995</v>
      </c>
      <c r="C121" s="10">
        <f t="shared" si="1"/>
        <v>0.52481551715613084</v>
      </c>
      <c r="D121" s="20">
        <f t="shared" si="2"/>
        <v>-1.6315517156130888E-2</v>
      </c>
      <c r="E121" s="32">
        <f t="shared" si="3"/>
        <v>15</v>
      </c>
    </row>
    <row r="122" spans="1:5" ht="15" customHeight="1" x14ac:dyDescent="0.2">
      <c r="A122" s="7" t="str">
        <f>'Data 2024'!A22</f>
        <v>Plymouth</v>
      </c>
      <c r="B122" s="10">
        <f>'Data 2024'!H22</f>
        <v>0.41700000000000004</v>
      </c>
      <c r="C122" s="10">
        <f t="shared" si="1"/>
        <v>0.47355803982164485</v>
      </c>
      <c r="D122" s="20">
        <f t="shared" si="2"/>
        <v>-5.6558039821644812E-2</v>
      </c>
      <c r="E122" s="32">
        <f t="shared" si="3"/>
        <v>20</v>
      </c>
    </row>
    <row r="123" spans="1:5" ht="15" customHeight="1" x14ac:dyDescent="0.2">
      <c r="A123" s="7" t="str">
        <f>'Data 2024'!A23</f>
        <v>Quincy</v>
      </c>
      <c r="B123" s="10">
        <f>'Data 2024'!H23</f>
        <v>0.42749999999999999</v>
      </c>
      <c r="C123" s="10">
        <f t="shared" si="1"/>
        <v>0.41995301325043904</v>
      </c>
      <c r="D123" s="20">
        <f t="shared" si="2"/>
        <v>7.5469867495609466E-3</v>
      </c>
      <c r="E123" s="32">
        <f t="shared" si="3"/>
        <v>9</v>
      </c>
    </row>
    <row r="124" spans="1:5" ht="15" customHeight="1" x14ac:dyDescent="0.2">
      <c r="A124" s="7" t="str">
        <f>'Data 2024'!A24</f>
        <v>Rockland</v>
      </c>
      <c r="B124" s="10">
        <f>'Data 2024'!H24</f>
        <v>0.38100000000000001</v>
      </c>
      <c r="C124" s="10">
        <f t="shared" si="1"/>
        <v>0.34918073690215318</v>
      </c>
      <c r="D124" s="20">
        <f t="shared" si="2"/>
        <v>3.1819263097846828E-2</v>
      </c>
      <c r="E124" s="32">
        <f t="shared" si="3"/>
        <v>4</v>
      </c>
    </row>
    <row r="125" spans="1:5" ht="15" customHeight="1" x14ac:dyDescent="0.2">
      <c r="A125" s="7" t="str">
        <f>'Data 2024'!A25</f>
        <v>Scituate</v>
      </c>
      <c r="B125" s="10">
        <f>'Data 2024'!H25</f>
        <v>0.59749999999999992</v>
      </c>
      <c r="C125" s="10">
        <f t="shared" si="1"/>
        <v>0.59411497425917381</v>
      </c>
      <c r="D125" s="20">
        <f t="shared" si="2"/>
        <v>3.3850257408261086E-3</v>
      </c>
      <c r="E125" s="32">
        <f t="shared" si="3"/>
        <v>10</v>
      </c>
    </row>
    <row r="126" spans="1:5" ht="15" customHeight="1" x14ac:dyDescent="0.2">
      <c r="A126" s="7" t="str">
        <f>'Data 2024'!A27</f>
        <v>Weymouth</v>
      </c>
      <c r="B126" s="10">
        <f>'Data 2024'!H27</f>
        <v>0.39200000000000002</v>
      </c>
      <c r="C126" s="10">
        <f t="shared" si="1"/>
        <v>0.37184342406084009</v>
      </c>
      <c r="D126" s="20">
        <f t="shared" si="2"/>
        <v>2.0156575939159926E-2</v>
      </c>
      <c r="E126" s="32">
        <f t="shared" si="3"/>
        <v>6</v>
      </c>
    </row>
    <row r="127" spans="1:5" ht="15" customHeight="1" x14ac:dyDescent="0.2">
      <c r="A127" s="11" t="str">
        <f>'Data 2024'!A28</f>
        <v>Whitman-Hanson</v>
      </c>
      <c r="B127" s="14">
        <f>'Data 2024'!H28</f>
        <v>0.38</v>
      </c>
      <c r="C127" s="14">
        <f t="shared" si="1"/>
        <v>0.41935919261436999</v>
      </c>
      <c r="D127" s="22">
        <f t="shared" si="2"/>
        <v>-3.9359192614369987E-2</v>
      </c>
      <c r="E127" s="33">
        <f t="shared" si="3"/>
        <v>18</v>
      </c>
    </row>
    <row r="129" spans="1:5" ht="15" customHeight="1" x14ac:dyDescent="0.2">
      <c r="A129" s="25" t="s">
        <v>94</v>
      </c>
    </row>
    <row r="130" spans="1:5" ht="15" customHeight="1" x14ac:dyDescent="0.2">
      <c r="A130" s="3" t="s">
        <v>95</v>
      </c>
      <c r="B130" s="3"/>
      <c r="C130" s="3"/>
      <c r="D130" s="3"/>
      <c r="E130" s="3"/>
    </row>
    <row r="131" spans="1:5" ht="15" customHeight="1" x14ac:dyDescent="0.2">
      <c r="A131" s="6" t="s">
        <v>2</v>
      </c>
      <c r="B131" s="6" t="s">
        <v>9</v>
      </c>
      <c r="C131" s="6" t="s">
        <v>5</v>
      </c>
      <c r="D131" s="6" t="s">
        <v>96</v>
      </c>
      <c r="E131" s="6" t="s">
        <v>97</v>
      </c>
    </row>
    <row r="132" spans="1:5" ht="15" customHeight="1" x14ac:dyDescent="0.2">
      <c r="A132" s="7" t="str">
        <f>'Data 2024'!A5</f>
        <v>Abington</v>
      </c>
      <c r="B132" s="10">
        <f>'Data 2024'!H5</f>
        <v>0.41649999999999998</v>
      </c>
      <c r="C132" s="9">
        <f>'Data 2024'!D5</f>
        <v>17097</v>
      </c>
      <c r="D132" s="34">
        <f t="shared" ref="D132:D152" si="4">B132*100000/C132</f>
        <v>2.4360999005673509</v>
      </c>
      <c r="E132" s="32">
        <f t="shared" ref="E132:E152" si="5">RANK(D132,$D$132:$D$152)</f>
        <v>11</v>
      </c>
    </row>
    <row r="133" spans="1:5" ht="15" customHeight="1" x14ac:dyDescent="0.2">
      <c r="A133" s="7" t="str">
        <f>'Data 2024'!A6</f>
        <v>Braintree</v>
      </c>
      <c r="B133" s="10">
        <f>'Data 2024'!H6</f>
        <v>0.52100000000000002</v>
      </c>
      <c r="C133" s="9">
        <f>'Data 2024'!D6</f>
        <v>19549</v>
      </c>
      <c r="D133" s="34">
        <f t="shared" si="4"/>
        <v>2.6650979589748838</v>
      </c>
      <c r="E133" s="32">
        <f t="shared" si="5"/>
        <v>9</v>
      </c>
    </row>
    <row r="134" spans="1:5" ht="15" customHeight="1" x14ac:dyDescent="0.2">
      <c r="A134" s="7" t="str">
        <f>'Data 2024'!A7</f>
        <v>Bridgewater-Raynham</v>
      </c>
      <c r="B134" s="10">
        <f>'Data 2024'!H7</f>
        <v>0.40100000000000002</v>
      </c>
      <c r="C134" s="9">
        <f>'Data 2024'!D7</f>
        <v>16125</v>
      </c>
      <c r="D134" s="34">
        <f t="shared" si="4"/>
        <v>2.4868217054263564</v>
      </c>
      <c r="E134" s="32">
        <f t="shared" si="5"/>
        <v>10</v>
      </c>
    </row>
    <row r="135" spans="1:5" ht="15" customHeight="1" x14ac:dyDescent="0.2">
      <c r="A135" s="7" t="str">
        <f>'Data 2024'!A8</f>
        <v>Carver</v>
      </c>
      <c r="B135" s="10">
        <f>'Data 2024'!H8</f>
        <v>0.309</v>
      </c>
      <c r="C135" s="9">
        <f>'Data 2024'!D8</f>
        <v>19247</v>
      </c>
      <c r="D135" s="34">
        <f t="shared" si="4"/>
        <v>1.6054450044162727</v>
      </c>
      <c r="E135" s="32">
        <f t="shared" si="5"/>
        <v>20</v>
      </c>
    </row>
    <row r="136" spans="1:5" ht="15" customHeight="1" x14ac:dyDescent="0.2">
      <c r="A136" s="7" t="str">
        <f>'Data 2024'!A9</f>
        <v>Cohasset</v>
      </c>
      <c r="B136" s="10">
        <f>'Data 2024'!H9</f>
        <v>0.67800000000000005</v>
      </c>
      <c r="C136" s="9">
        <f>'Data 2024'!D9</f>
        <v>22516</v>
      </c>
      <c r="D136" s="34">
        <f t="shared" si="4"/>
        <v>3.0111920412151361</v>
      </c>
      <c r="E136" s="32">
        <f t="shared" si="5"/>
        <v>5</v>
      </c>
    </row>
    <row r="137" spans="1:5" ht="15" customHeight="1" x14ac:dyDescent="0.2">
      <c r="A137" s="7" t="str">
        <f>'Data 2024'!A10</f>
        <v>Duxbury</v>
      </c>
      <c r="B137" s="10">
        <f>'Data 2024'!H10</f>
        <v>0.61</v>
      </c>
      <c r="C137" s="9">
        <f>'Data 2024'!D10</f>
        <v>20115</v>
      </c>
      <c r="D137" s="34">
        <f t="shared" si="4"/>
        <v>3.0325627641063884</v>
      </c>
      <c r="E137" s="32">
        <f t="shared" si="5"/>
        <v>4</v>
      </c>
    </row>
    <row r="138" spans="1:5" ht="15" customHeight="1" x14ac:dyDescent="0.2">
      <c r="A138" s="7" t="str">
        <f>'Data 2024'!A11</f>
        <v>East Bridgewater</v>
      </c>
      <c r="B138" s="10">
        <f>'Data 2024'!H11</f>
        <v>0.39249999999999996</v>
      </c>
      <c r="C138" s="9">
        <f>'Data 2024'!D11</f>
        <v>17593</v>
      </c>
      <c r="D138" s="34">
        <f t="shared" si="4"/>
        <v>2.2310009662934118</v>
      </c>
      <c r="E138" s="32">
        <f t="shared" si="5"/>
        <v>12</v>
      </c>
    </row>
    <row r="139" spans="1:5" ht="15" customHeight="1" x14ac:dyDescent="0.2">
      <c r="A139" s="7" t="str">
        <f>'Data 2024'!A13</f>
        <v>Hanover</v>
      </c>
      <c r="B139" s="10">
        <f>'Data 2024'!H13</f>
        <v>0.57350000000000001</v>
      </c>
      <c r="C139" s="9">
        <f>'Data 2024'!D13</f>
        <v>16823</v>
      </c>
      <c r="D139" s="34">
        <f t="shared" si="4"/>
        <v>3.4090233608749925</v>
      </c>
      <c r="E139" s="32">
        <f t="shared" si="5"/>
        <v>3</v>
      </c>
    </row>
    <row r="140" spans="1:5" ht="15" customHeight="1" x14ac:dyDescent="0.2">
      <c r="A140" s="7" t="str">
        <f>'Data 2024'!A14</f>
        <v>Hingham</v>
      </c>
      <c r="B140" s="10">
        <f>'Data 2024'!H14</f>
        <v>0.73449999999999993</v>
      </c>
      <c r="C140" s="9">
        <f>'Data 2024'!D14</f>
        <v>20479</v>
      </c>
      <c r="D140" s="34">
        <f t="shared" si="4"/>
        <v>3.586600908247473</v>
      </c>
      <c r="E140" s="32">
        <f t="shared" si="5"/>
        <v>1</v>
      </c>
    </row>
    <row r="141" spans="1:5" ht="15" customHeight="1" x14ac:dyDescent="0.2">
      <c r="A141" s="7" t="str">
        <f>'Data 2024'!A15</f>
        <v>Holbrook</v>
      </c>
      <c r="B141" s="10">
        <f>'Data 2024'!H15</f>
        <v>0.36099999999999999</v>
      </c>
      <c r="C141" s="9">
        <f>'Data 2024'!D15</f>
        <v>17567</v>
      </c>
      <c r="D141" s="34">
        <f t="shared" si="4"/>
        <v>2.0549894688905335</v>
      </c>
      <c r="E141" s="32">
        <f t="shared" si="5"/>
        <v>15</v>
      </c>
    </row>
    <row r="142" spans="1:5" ht="15" customHeight="1" x14ac:dyDescent="0.2">
      <c r="A142" s="7" t="str">
        <f>'Data 2024'!A16</f>
        <v>Hull</v>
      </c>
      <c r="B142" s="10">
        <f>'Data 2024'!H16</f>
        <v>0.49950000000000006</v>
      </c>
      <c r="C142" s="9">
        <f>'Data 2024'!D16</f>
        <v>31139</v>
      </c>
      <c r="D142" s="34">
        <f t="shared" si="4"/>
        <v>1.6040977552265649</v>
      </c>
      <c r="E142" s="32">
        <f t="shared" si="5"/>
        <v>21</v>
      </c>
    </row>
    <row r="143" spans="1:5" ht="15" customHeight="1" x14ac:dyDescent="0.2">
      <c r="A143" s="7" t="str">
        <f>'Data 2024'!A18</f>
        <v>Marshfield</v>
      </c>
      <c r="B143" s="10">
        <f>'Data 2024'!H18</f>
        <v>0.55299999999999994</v>
      </c>
      <c r="C143" s="9">
        <f>'Data 2024'!D18</f>
        <v>19487</v>
      </c>
      <c r="D143" s="34">
        <f t="shared" si="4"/>
        <v>2.8377892954277208</v>
      </c>
      <c r="E143" s="32">
        <f t="shared" si="5"/>
        <v>7</v>
      </c>
    </row>
    <row r="144" spans="1:5" ht="15" customHeight="1" x14ac:dyDescent="0.2">
      <c r="A144" s="7" t="str">
        <f>'Data 2024'!A19</f>
        <v>Middleborough</v>
      </c>
      <c r="B144" s="10">
        <f>'Data 2024'!H19</f>
        <v>0.36649999999999999</v>
      </c>
      <c r="C144" s="9">
        <f>'Data 2024'!D19</f>
        <v>19536</v>
      </c>
      <c r="D144" s="34">
        <f t="shared" si="4"/>
        <v>1.876023751023751</v>
      </c>
      <c r="E144" s="32">
        <f t="shared" si="5"/>
        <v>18</v>
      </c>
    </row>
    <row r="145" spans="1:5" ht="15" customHeight="1" x14ac:dyDescent="0.2">
      <c r="A145" s="7" t="str">
        <f>'Data 2024'!A20</f>
        <v>Norwell</v>
      </c>
      <c r="B145" s="10">
        <f>'Data 2024'!H20</f>
        <v>0.66949999999999998</v>
      </c>
      <c r="C145" s="9">
        <f>'Data 2024'!D20</f>
        <v>19525</v>
      </c>
      <c r="D145" s="34">
        <f t="shared" si="4"/>
        <v>3.4289372599231753</v>
      </c>
      <c r="E145" s="32">
        <f t="shared" si="5"/>
        <v>2</v>
      </c>
    </row>
    <row r="146" spans="1:5" ht="15" customHeight="1" x14ac:dyDescent="0.2">
      <c r="A146" s="7" t="str">
        <f>'Data 2024'!A21</f>
        <v>Pembroke</v>
      </c>
      <c r="B146" s="10">
        <f>'Data 2024'!H21</f>
        <v>0.50849999999999995</v>
      </c>
      <c r="C146" s="9">
        <f>'Data 2024'!D21</f>
        <v>18911</v>
      </c>
      <c r="D146" s="34">
        <f t="shared" si="4"/>
        <v>2.6889112156945689</v>
      </c>
      <c r="E146" s="32">
        <f t="shared" si="5"/>
        <v>8</v>
      </c>
    </row>
    <row r="147" spans="1:5" ht="15" customHeight="1" x14ac:dyDescent="0.2">
      <c r="A147" s="7" t="str">
        <f>'Data 2024'!A22</f>
        <v>Plymouth</v>
      </c>
      <c r="B147" s="10">
        <f>'Data 2024'!H22</f>
        <v>0.41700000000000004</v>
      </c>
      <c r="C147" s="9">
        <f>'Data 2024'!D22</f>
        <v>22128</v>
      </c>
      <c r="D147" s="34">
        <f t="shared" si="4"/>
        <v>1.8844902386117139</v>
      </c>
      <c r="E147" s="32">
        <f t="shared" si="5"/>
        <v>17</v>
      </c>
    </row>
    <row r="148" spans="1:5" ht="15" customHeight="1" x14ac:dyDescent="0.2">
      <c r="A148" s="7" t="str">
        <f>'Data 2024'!A23</f>
        <v>Quincy</v>
      </c>
      <c r="B148" s="10">
        <f>'Data 2024'!H23</f>
        <v>0.42749999999999999</v>
      </c>
      <c r="C148" s="9">
        <f>'Data 2024'!D23</f>
        <v>20257</v>
      </c>
      <c r="D148" s="34">
        <f t="shared" si="4"/>
        <v>2.1103815964851655</v>
      </c>
      <c r="E148" s="32">
        <f t="shared" si="5"/>
        <v>13</v>
      </c>
    </row>
    <row r="149" spans="1:5" ht="15" customHeight="1" x14ac:dyDescent="0.2">
      <c r="A149" s="7" t="str">
        <f>'Data 2024'!A24</f>
        <v>Rockland</v>
      </c>
      <c r="B149" s="10">
        <f>'Data 2024'!H24</f>
        <v>0.38100000000000001</v>
      </c>
      <c r="C149" s="9">
        <f>'Data 2024'!D24</f>
        <v>21153</v>
      </c>
      <c r="D149" s="34">
        <f t="shared" si="4"/>
        <v>1.8011629556091335</v>
      </c>
      <c r="E149" s="32">
        <f t="shared" si="5"/>
        <v>19</v>
      </c>
    </row>
    <row r="150" spans="1:5" ht="15" customHeight="1" x14ac:dyDescent="0.2">
      <c r="A150" s="7" t="str">
        <f>'Data 2024'!A25</f>
        <v>Scituate</v>
      </c>
      <c r="B150" s="10">
        <f>'Data 2024'!H25</f>
        <v>0.59749999999999992</v>
      </c>
      <c r="C150" s="9">
        <f>'Data 2024'!D25</f>
        <v>20435</v>
      </c>
      <c r="D150" s="34">
        <f t="shared" si="4"/>
        <v>2.9239050648397353</v>
      </c>
      <c r="E150" s="32">
        <f t="shared" si="5"/>
        <v>6</v>
      </c>
    </row>
    <row r="151" spans="1:5" ht="15" customHeight="1" x14ac:dyDescent="0.2">
      <c r="A151" s="7" t="str">
        <f>'Data 2024'!A27</f>
        <v>Weymouth</v>
      </c>
      <c r="B151" s="10">
        <f>'Data 2024'!H27</f>
        <v>0.39200000000000002</v>
      </c>
      <c r="C151" s="9">
        <f>'Data 2024'!D27</f>
        <v>19597</v>
      </c>
      <c r="D151" s="34">
        <f t="shared" si="4"/>
        <v>2.0003061693116293</v>
      </c>
      <c r="E151" s="32">
        <f t="shared" si="5"/>
        <v>16</v>
      </c>
    </row>
    <row r="152" spans="1:5" ht="15" customHeight="1" x14ac:dyDescent="0.2">
      <c r="A152" s="11" t="str">
        <f>'Data 2024'!A28</f>
        <v>Whitman-Hanson</v>
      </c>
      <c r="B152" s="14">
        <f>'Data 2024'!H28</f>
        <v>0.38</v>
      </c>
      <c r="C152" s="13">
        <f>'Data 2024'!D28</f>
        <v>18079</v>
      </c>
      <c r="D152" s="35">
        <f t="shared" si="4"/>
        <v>2.1018861662702584</v>
      </c>
      <c r="E152" s="33">
        <f t="shared" si="5"/>
        <v>14</v>
      </c>
    </row>
  </sheetData>
  <mergeCells count="8">
    <mergeCell ref="A69:F69"/>
    <mergeCell ref="A105:E105"/>
    <mergeCell ref="A130:E130"/>
    <mergeCell ref="A1:F1"/>
    <mergeCell ref="A2:F2"/>
    <mergeCell ref="A41:D41"/>
    <mergeCell ref="A67:F67"/>
    <mergeCell ref="A68:F68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68"/>
  <sheetViews>
    <sheetView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K1"/>
    </sheetView>
  </sheetViews>
  <sheetFormatPr baseColWidth="10" defaultColWidth="8.6640625" defaultRowHeight="15" x14ac:dyDescent="0.2"/>
  <cols>
    <col min="1" max="1" width="22" customWidth="1"/>
    <col min="2" max="6" width="8" customWidth="1"/>
    <col min="7" max="8" width="9" customWidth="1"/>
    <col min="9" max="10" width="8" customWidth="1"/>
    <col min="11" max="11" width="9" customWidth="1"/>
    <col min="14" max="14" width="22" customWidth="1"/>
    <col min="15" max="19" width="13" customWidth="1"/>
  </cols>
  <sheetData>
    <row r="1" spans="1:19" ht="15.75" customHeight="1" x14ac:dyDescent="0.2">
      <c r="A1" s="4" t="s">
        <v>98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9" ht="15" customHeight="1" x14ac:dyDescent="0.2">
      <c r="A2" s="3" t="s">
        <v>99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9" ht="15" customHeight="1" x14ac:dyDescent="0.2">
      <c r="A3" s="3" t="s">
        <v>100</v>
      </c>
      <c r="B3" s="3"/>
      <c r="C3" s="3"/>
      <c r="D3" s="3"/>
      <c r="E3" s="3"/>
      <c r="F3" s="3"/>
      <c r="G3" s="3"/>
      <c r="H3" s="3"/>
      <c r="I3" s="3"/>
      <c r="J3" s="3"/>
      <c r="K3" s="3"/>
    </row>
    <row r="5" spans="1:19" ht="15" customHeight="1" x14ac:dyDescent="0.2">
      <c r="A5" s="25" t="s">
        <v>101</v>
      </c>
      <c r="N5" s="25" t="s">
        <v>102</v>
      </c>
    </row>
    <row r="6" spans="1:19" ht="15" customHeight="1" x14ac:dyDescent="0.2">
      <c r="A6" s="36" t="s">
        <v>2</v>
      </c>
      <c r="B6" s="36" t="s">
        <v>103</v>
      </c>
      <c r="C6" s="36" t="s">
        <v>104</v>
      </c>
      <c r="D6" s="36" t="s">
        <v>105</v>
      </c>
      <c r="E6" s="36" t="s">
        <v>106</v>
      </c>
      <c r="F6" s="36" t="s">
        <v>107</v>
      </c>
      <c r="G6" s="36" t="s">
        <v>108</v>
      </c>
      <c r="H6" s="36" t="s">
        <v>109</v>
      </c>
      <c r="I6" s="36" t="s">
        <v>110</v>
      </c>
      <c r="J6" s="36" t="s">
        <v>111</v>
      </c>
      <c r="K6" s="36" t="s">
        <v>112</v>
      </c>
      <c r="N6" s="25" t="s">
        <v>103</v>
      </c>
    </row>
    <row r="7" spans="1:19" ht="15" customHeight="1" x14ac:dyDescent="0.2">
      <c r="A7" s="7" t="s">
        <v>15</v>
      </c>
      <c r="B7" s="37">
        <f>IFERROR((O8-(O31+O32*P8+O33*Q8+O34*R8+O35*S8))*100,"")</f>
        <v>-3.1246313248369684</v>
      </c>
      <c r="C7" s="37">
        <f>IFERROR((O41-(O64+O65*P41+O66*Q41+O67*R41+O68*S41))*100,"")</f>
        <v>0.32220678442750339</v>
      </c>
      <c r="D7" s="37">
        <f>IFERROR((O74-(O97+O98*P74+O99*Q74+O100*R74+O101*S74))*100,"")</f>
        <v>0.83228800609624343</v>
      </c>
      <c r="E7" s="37">
        <f>IFERROR((O107-(O130+O131*P107+O132*Q107+O133*R107+O134*S107))*100,"")</f>
        <v>-3.5866410397407176</v>
      </c>
      <c r="F7" s="37">
        <f>IFERROR((O140-(O163+O164*P140+O165*Q140+O166*R140+O167*S140))*100,"")</f>
        <v>-4.9689588849952004</v>
      </c>
      <c r="G7" s="37">
        <f t="shared" ref="G7:G27" si="0">AVERAGE(B7:F7)</f>
        <v>-2.1051472918098275</v>
      </c>
      <c r="H7" s="38">
        <f t="shared" ref="H7:H27" si="1">STDEV(B7:F7)</f>
        <v>2.5473595251175807</v>
      </c>
      <c r="I7" s="37">
        <f t="shared" ref="I7:I27" si="2">MIN(B7:F7)</f>
        <v>-4.9689588849952004</v>
      </c>
      <c r="J7" s="37">
        <f t="shared" ref="J7:J27" si="3">MAX(B7:F7)</f>
        <v>0.83228800609624343</v>
      </c>
      <c r="K7" s="39" t="str">
        <f t="shared" ref="K7:K27" si="4">IF(MIN(B7:F7)&gt;0,"all +",IF(MAX(B7:F7)&lt;0,"all -","mixed"))</f>
        <v>mixed</v>
      </c>
      <c r="N7" s="40" t="s">
        <v>2</v>
      </c>
      <c r="O7" s="40" t="s">
        <v>9</v>
      </c>
      <c r="P7" s="40" t="s">
        <v>10</v>
      </c>
      <c r="Q7" s="40" t="s">
        <v>12</v>
      </c>
      <c r="R7" s="40" t="s">
        <v>11</v>
      </c>
      <c r="S7" s="40" t="s">
        <v>5</v>
      </c>
    </row>
    <row r="8" spans="1:19" ht="15" customHeight="1" x14ac:dyDescent="0.2">
      <c r="A8" s="7" t="s">
        <v>17</v>
      </c>
      <c r="B8" s="37">
        <f>IFERROR((O9-(O31+O32*P9+O33*Q9+O34*R9+O35*S9))*100,"")</f>
        <v>1.6452992517528187</v>
      </c>
      <c r="C8" s="37">
        <f>IFERROR((O42-(O64+O65*P42+O66*Q42+O67*R42+O68*S42))*100,"")</f>
        <v>1.7345250749423113</v>
      </c>
      <c r="D8" s="37">
        <f>IFERROR((O75-(O97+O98*P75+O99*Q75+O100*R75+O101*S75))*100,"")</f>
        <v>2.8621090564556306</v>
      </c>
      <c r="E8" s="37">
        <f>IFERROR((O108-(O130+O131*P108+O132*Q108+O133*R108+O134*S108))*100,"")</f>
        <v>0.81603526187676856</v>
      </c>
      <c r="F8" s="37">
        <f>IFERROR((O141-(O163+O164*P141+O165*Q141+O166*R141+O167*S141))*100,"")</f>
        <v>0.91178397094511254</v>
      </c>
      <c r="G8" s="37">
        <f t="shared" si="0"/>
        <v>1.5939505231945283</v>
      </c>
      <c r="H8" s="38">
        <f t="shared" si="1"/>
        <v>0.82175533475687412</v>
      </c>
      <c r="I8" s="37">
        <f t="shared" si="2"/>
        <v>0.81603526187676856</v>
      </c>
      <c r="J8" s="37">
        <f t="shared" si="3"/>
        <v>2.8621090564556306</v>
      </c>
      <c r="K8" s="39" t="str">
        <f t="shared" si="4"/>
        <v>all +</v>
      </c>
      <c r="N8" s="7" t="s">
        <v>15</v>
      </c>
      <c r="O8" s="10">
        <v>0.52700000000000002</v>
      </c>
      <c r="P8" s="10">
        <v>0.218</v>
      </c>
      <c r="Q8" s="10">
        <v>0.159</v>
      </c>
      <c r="R8" s="10">
        <v>0.05</v>
      </c>
      <c r="S8" s="9">
        <v>14014</v>
      </c>
    </row>
    <row r="9" spans="1:19" ht="15" customHeight="1" x14ac:dyDescent="0.2">
      <c r="A9" s="7" t="s">
        <v>18</v>
      </c>
      <c r="B9" s="37">
        <f>IFERROR((O10-(O31+O32*P10+O33*Q10+O34*R10+O35*S10))*100,"")</f>
        <v>1.6306015869876456</v>
      </c>
      <c r="C9" s="37">
        <f>IFERROR((O43-(O64+O65*P43+O66*Q43+O67*R43+O68*S43))*100,"")</f>
        <v>-1.9036873005782995</v>
      </c>
      <c r="D9" s="37">
        <f>IFERROR((O76-(O97+O98*P76+O99*Q76+O100*R76+O101*S76))*100,"")</f>
        <v>-0.73733905557169521</v>
      </c>
      <c r="E9" s="37">
        <f>IFERROR((O109-(O130+O131*P109+O132*Q109+O133*R109+O134*S109))*100,"")</f>
        <v>-2.3190286246294658</v>
      </c>
      <c r="F9" s="37">
        <f>IFERROR((O142-(O163+O164*P142+O165*Q142+O166*R142+O167*S142))*100,"")</f>
        <v>-1.2150906848665766</v>
      </c>
      <c r="G9" s="37">
        <f t="shared" si="0"/>
        <v>-0.90890881573167837</v>
      </c>
      <c r="H9" s="38">
        <f t="shared" si="1"/>
        <v>1.5451794972160697</v>
      </c>
      <c r="I9" s="37">
        <f t="shared" si="2"/>
        <v>-2.3190286246294658</v>
      </c>
      <c r="J9" s="37">
        <f t="shared" si="3"/>
        <v>1.6306015869876456</v>
      </c>
      <c r="K9" s="39" t="str">
        <f t="shared" si="4"/>
        <v>mixed</v>
      </c>
      <c r="N9" s="7" t="s">
        <v>17</v>
      </c>
      <c r="O9" s="10">
        <v>0.62350000000000005</v>
      </c>
      <c r="P9" s="10">
        <v>0.17899999999999999</v>
      </c>
      <c r="Q9" s="10">
        <v>0.20200000000000001</v>
      </c>
      <c r="R9" s="10">
        <v>5.8000000000000003E-2</v>
      </c>
      <c r="S9" s="9">
        <v>14507</v>
      </c>
    </row>
    <row r="10" spans="1:19" ht="15" customHeight="1" x14ac:dyDescent="0.2">
      <c r="A10" s="7" t="s">
        <v>20</v>
      </c>
      <c r="B10" s="37">
        <f>IFERROR((O11-(O31+O32*P11+O33*Q11+O34*R11+O35*S11))*100,"")</f>
        <v>-8.8226496244722892</v>
      </c>
      <c r="C10" s="37">
        <f>IFERROR((O44-(O64+O65*P44+O66*Q44+O67*R44+O68*S44))*100,"")</f>
        <v>-11.363427114071373</v>
      </c>
      <c r="D10" s="37">
        <f>IFERROR((O77-(O97+O98*P77+O99*Q77+O100*R77+O101*S77))*100,"")</f>
        <v>-9.171700160325031</v>
      </c>
      <c r="E10" s="37">
        <f>IFERROR((O110-(O130+O131*P110+O132*Q110+O133*R110+O134*S110))*100,"")</f>
        <v>-10.908209054662276</v>
      </c>
      <c r="F10" s="37">
        <f>IFERROR((O143-(O163+O164*P143+O165*Q143+O166*R143+O167*S143))*100,"")</f>
        <v>-8.9137299349853372</v>
      </c>
      <c r="G10" s="37">
        <f t="shared" si="0"/>
        <v>-9.8359431777032622</v>
      </c>
      <c r="H10" s="38">
        <f t="shared" si="1"/>
        <v>1.2043069752925071</v>
      </c>
      <c r="I10" s="37">
        <f t="shared" si="2"/>
        <v>-11.363427114071373</v>
      </c>
      <c r="J10" s="37">
        <f t="shared" si="3"/>
        <v>-8.8226496244722892</v>
      </c>
      <c r="K10" s="39" t="str">
        <f t="shared" si="4"/>
        <v>all -</v>
      </c>
      <c r="N10" s="7" t="s">
        <v>18</v>
      </c>
      <c r="O10" s="10">
        <v>0.58399999999999996</v>
      </c>
      <c r="P10" s="10">
        <v>0.161</v>
      </c>
      <c r="Q10" s="10">
        <v>0.16200000000000001</v>
      </c>
      <c r="R10" s="10">
        <v>1.4999999999999999E-2</v>
      </c>
      <c r="S10" s="9">
        <v>13022</v>
      </c>
    </row>
    <row r="11" spans="1:19" ht="15" customHeight="1" x14ac:dyDescent="0.2">
      <c r="A11" s="7" t="s">
        <v>21</v>
      </c>
      <c r="B11" s="37">
        <f>IFERROR((O12-(O31+O32*P12+O33*Q12+O34*R12+O35*S12))*100,"")</f>
        <v>-5.8548119063781323</v>
      </c>
      <c r="C11" s="37">
        <f>IFERROR((O45-(O64+O65*P45+O66*Q45+O67*R45+O68*S45))*100,"")</f>
        <v>-6.6285646572733059</v>
      </c>
      <c r="D11" s="37">
        <f>IFERROR((O78-(O97+O98*P78+O99*Q78+O100*R78+O101*S78))*100,"")</f>
        <v>-1.0844442816457911</v>
      </c>
      <c r="E11" s="37">
        <f>IFERROR((O111-(O130+O131*P111+O132*Q111+O133*R111+O134*S111))*100,"")</f>
        <v>1.7715128338935515</v>
      </c>
      <c r="F11" s="37">
        <f>IFERROR((O144-(O163+O164*P144+O165*Q144+O166*R144+O167*S144))*100,"")</f>
        <v>-0.10461925451197285</v>
      </c>
      <c r="G11" s="37">
        <f t="shared" si="0"/>
        <v>-2.3801854531831301</v>
      </c>
      <c r="H11" s="38">
        <f t="shared" si="1"/>
        <v>3.681558780803841</v>
      </c>
      <c r="I11" s="37">
        <f t="shared" si="2"/>
        <v>-6.6285646572733059</v>
      </c>
      <c r="J11" s="37">
        <f t="shared" si="3"/>
        <v>1.7715128338935515</v>
      </c>
      <c r="K11" s="39" t="str">
        <f t="shared" si="4"/>
        <v>mixed</v>
      </c>
      <c r="N11" s="7" t="s">
        <v>20</v>
      </c>
      <c r="O11" s="10">
        <v>0.43049999999999999</v>
      </c>
      <c r="P11" s="10">
        <v>0.219</v>
      </c>
      <c r="Q11" s="10">
        <v>0.191</v>
      </c>
      <c r="R11" s="10">
        <v>1.2999999999999999E-2</v>
      </c>
      <c r="S11" s="9">
        <v>15071</v>
      </c>
    </row>
    <row r="12" spans="1:19" ht="15" customHeight="1" x14ac:dyDescent="0.2">
      <c r="A12" s="7" t="s">
        <v>22</v>
      </c>
      <c r="B12" s="37">
        <f>IFERROR((O13-(O31+O32*P13+O33*Q13+O34*R13+O35*S13))*100,"")</f>
        <v>-3.4959260553526605</v>
      </c>
      <c r="C12" s="37">
        <f>IFERROR((O46-(O64+O65*P46+O66*Q46+O67*R46+O68*S46))*100,"")</f>
        <v>-2.3842374110817355</v>
      </c>
      <c r="D12" s="37">
        <f>IFERROR((O79-(O97+O98*P79+O99*Q79+O100*R79+O101*S79))*100,"")</f>
        <v>-3.9159907557184903</v>
      </c>
      <c r="E12" s="37">
        <f>IFERROR((O112-(O130+O131*P112+O132*Q112+O133*R112+O134*S112))*100,"")</f>
        <v>-1.9248590244602348</v>
      </c>
      <c r="F12" s="37">
        <f>IFERROR((O145-(O163+O164*P145+O165*Q145+O166*R145+O167*S145))*100,"")</f>
        <v>-1.2013225197614052</v>
      </c>
      <c r="G12" s="37">
        <f t="shared" si="0"/>
        <v>-2.5844671532749048</v>
      </c>
      <c r="H12" s="38">
        <f t="shared" si="1"/>
        <v>1.1171365566164524</v>
      </c>
      <c r="I12" s="37">
        <f t="shared" si="2"/>
        <v>-3.9159907557184903</v>
      </c>
      <c r="J12" s="37">
        <f t="shared" si="3"/>
        <v>-1.2013225197614052</v>
      </c>
      <c r="K12" s="39" t="str">
        <f t="shared" si="4"/>
        <v>all -</v>
      </c>
      <c r="N12" s="7" t="s">
        <v>21</v>
      </c>
      <c r="O12" s="10">
        <v>0.67149999999999999</v>
      </c>
      <c r="P12" s="10">
        <v>5.1999999999999998E-2</v>
      </c>
      <c r="Q12" s="10">
        <v>0.13500000000000001</v>
      </c>
      <c r="R12" s="10">
        <v>2E-3</v>
      </c>
      <c r="S12" s="9">
        <v>16871</v>
      </c>
    </row>
    <row r="13" spans="1:19" ht="15" customHeight="1" x14ac:dyDescent="0.2">
      <c r="A13" s="7" t="s">
        <v>23</v>
      </c>
      <c r="B13" s="37">
        <f>IFERROR((O14-(O31+O32*P14+O33*Q14+O34*R14+O35*S14))*100,"")</f>
        <v>-0.83329414271376967</v>
      </c>
      <c r="C13" s="37">
        <f>IFERROR((O47-(O64+O65*P47+O66*Q47+O67*R47+O68*S47))*100,"")</f>
        <v>-2.0134921070944003</v>
      </c>
      <c r="D13" s="37">
        <f>IFERROR((O80-(O97+O98*P80+O99*Q80+O100*R80+O101*S80))*100,"")</f>
        <v>-3.0600727412414983</v>
      </c>
      <c r="E13" s="37">
        <f>IFERROR((O113-(O130+O131*P113+O132*Q113+O133*R113+O134*S113))*100,"")</f>
        <v>0.20560875392004463</v>
      </c>
      <c r="F13" s="37">
        <f>IFERROR((O146-(O163+O164*P146+O165*Q146+O166*R146+O167*S146))*100,"")</f>
        <v>-1.6783603047589246</v>
      </c>
      <c r="G13" s="37">
        <f t="shared" si="0"/>
        <v>-1.4759221083777097</v>
      </c>
      <c r="H13" s="38">
        <f t="shared" si="1"/>
        <v>1.2328840879813361</v>
      </c>
      <c r="I13" s="37">
        <f t="shared" si="2"/>
        <v>-3.0600727412414983</v>
      </c>
      <c r="J13" s="37">
        <f t="shared" si="3"/>
        <v>0.20560875392004463</v>
      </c>
      <c r="K13" s="39" t="str">
        <f t="shared" si="4"/>
        <v>mixed</v>
      </c>
      <c r="N13" s="7" t="s">
        <v>22</v>
      </c>
      <c r="O13" s="10">
        <v>0.68</v>
      </c>
      <c r="P13" s="10">
        <v>5.1999999999999998E-2</v>
      </c>
      <c r="Q13" s="10">
        <v>0.153</v>
      </c>
      <c r="R13" s="10">
        <v>3.0000000000000001E-3</v>
      </c>
      <c r="S13" s="9">
        <v>15935</v>
      </c>
    </row>
    <row r="14" spans="1:19" ht="15" customHeight="1" x14ac:dyDescent="0.2">
      <c r="A14" s="7" t="s">
        <v>26</v>
      </c>
      <c r="B14" s="37">
        <f>IFERROR((O15-(O31+O32*P15+O33*Q15+O34*R15+O35*S15))*100,"")</f>
        <v>-3.4004045599706489</v>
      </c>
      <c r="C14" s="37">
        <f>IFERROR((O48-(O64+O65*P48+O66*Q48+O67*R48+O68*S48))*100,"")</f>
        <v>-0.61985611643036176</v>
      </c>
      <c r="D14" s="37">
        <f>IFERROR((O81-(O97+O98*P81+O99*Q81+O100*R81+O101*S81))*100,"")</f>
        <v>-3.9294584474273808</v>
      </c>
      <c r="E14" s="37">
        <f>IFERROR((O114-(O130+O131*P114+O132*Q114+O133*R114+O134*S114))*100,"")</f>
        <v>-2.5096992080262615</v>
      </c>
      <c r="F14" s="37">
        <f>IFERROR((O147-(O163+O164*P147+O165*Q147+O166*R147+O167*S147))*100,"")</f>
        <v>-1.2424664443282052</v>
      </c>
      <c r="G14" s="37">
        <f t="shared" si="0"/>
        <v>-2.3403769552365716</v>
      </c>
      <c r="H14" s="38">
        <f t="shared" si="1"/>
        <v>1.4002774710428736</v>
      </c>
      <c r="I14" s="37">
        <f t="shared" si="2"/>
        <v>-3.9294584474273808</v>
      </c>
      <c r="J14" s="37">
        <f t="shared" si="3"/>
        <v>-0.61985611643036176</v>
      </c>
      <c r="K14" s="39" t="str">
        <f t="shared" si="4"/>
        <v>all -</v>
      </c>
      <c r="N14" s="7" t="s">
        <v>23</v>
      </c>
      <c r="O14" s="10">
        <v>0.51349999999999996</v>
      </c>
      <c r="P14" s="10">
        <v>0.18099999999999999</v>
      </c>
      <c r="Q14" s="10">
        <v>0.191</v>
      </c>
      <c r="R14" s="10">
        <v>8.0000000000000002E-3</v>
      </c>
      <c r="S14" s="9">
        <v>12396</v>
      </c>
    </row>
    <row r="15" spans="1:19" ht="15" customHeight="1" x14ac:dyDescent="0.2">
      <c r="A15" s="7" t="s">
        <v>27</v>
      </c>
      <c r="B15" s="37">
        <f>IFERROR((O16-(O31+O32*P16+O33*Q16+O34*R16+O35*S16))*100,"")</f>
        <v>8.3203572943206012</v>
      </c>
      <c r="C15" s="37">
        <f>IFERROR((O49-(O64+O65*P49+O66*Q49+O67*R49+O68*S49))*100,"")</f>
        <v>8.5514146169762384</v>
      </c>
      <c r="D15" s="37">
        <f>IFERROR((O82-(O97+O98*P82+O99*Q82+O100*R82+O101*S82))*100,"")</f>
        <v>8.0040540408225276</v>
      </c>
      <c r="E15" s="37">
        <f>IFERROR((O115-(O130+O131*P115+O132*Q115+O133*R115+O134*S115))*100,"")</f>
        <v>5.5840460126539764</v>
      </c>
      <c r="F15" s="37">
        <f>IFERROR((O148-(O163+O164*P148+O165*Q148+O166*R148+O167*S148))*100,"")</f>
        <v>9.0044605329808398</v>
      </c>
      <c r="G15" s="37">
        <f t="shared" si="0"/>
        <v>7.8928664995508369</v>
      </c>
      <c r="H15" s="38">
        <f t="shared" si="1"/>
        <v>1.3411832469673262</v>
      </c>
      <c r="I15" s="37">
        <f t="shared" si="2"/>
        <v>5.5840460126539764</v>
      </c>
      <c r="J15" s="37">
        <f t="shared" si="3"/>
        <v>9.0044605329808398</v>
      </c>
      <c r="K15" s="39" t="str">
        <f t="shared" si="4"/>
        <v>all +</v>
      </c>
      <c r="N15" s="7" t="s">
        <v>26</v>
      </c>
      <c r="O15" s="10">
        <v>0.624</v>
      </c>
      <c r="P15" s="10">
        <v>8.4000000000000005E-2</v>
      </c>
      <c r="Q15" s="10">
        <v>0.17799999999999999</v>
      </c>
      <c r="R15" s="10">
        <v>0.01</v>
      </c>
      <c r="S15" s="9">
        <v>14106</v>
      </c>
    </row>
    <row r="16" spans="1:19" ht="15" customHeight="1" x14ac:dyDescent="0.2">
      <c r="A16" s="7" t="s">
        <v>28</v>
      </c>
      <c r="B16" s="37">
        <f>IFERROR((O17-(O31+O32*P17+O33*Q17+O34*R17+O35*S17))*100,"")</f>
        <v>-1.4180424065402208</v>
      </c>
      <c r="C16" s="37">
        <f>IFERROR((O50-(O64+O65*P50+O66*Q50+O67*R50+O68*S50))*100,"")</f>
        <v>-1.3362074422717363</v>
      </c>
      <c r="D16" s="37">
        <f>IFERROR((O83-(O97+O98*P83+O99*Q83+O100*R83+O101*S83))*100,"")</f>
        <v>2.1366396924473285</v>
      </c>
      <c r="E16" s="37">
        <f>IFERROR((O116-(O130+O131*P116+O132*Q116+O133*R116+O134*S116))*100,"")</f>
        <v>5.4646625652177097</v>
      </c>
      <c r="F16" s="37">
        <f>IFERROR((O149-(O163+O164*P149+O165*Q149+O166*R149+O167*S149))*100,"")</f>
        <v>4.7325263118823511</v>
      </c>
      <c r="G16" s="37">
        <f t="shared" si="0"/>
        <v>1.9159157441470864</v>
      </c>
      <c r="H16" s="38">
        <f t="shared" si="1"/>
        <v>3.2506614835240581</v>
      </c>
      <c r="I16" s="37">
        <f t="shared" si="2"/>
        <v>-1.4180424065402208</v>
      </c>
      <c r="J16" s="37">
        <f t="shared" si="3"/>
        <v>5.4646625652177097</v>
      </c>
      <c r="K16" s="39" t="str">
        <f t="shared" si="4"/>
        <v>mixed</v>
      </c>
      <c r="N16" s="7" t="s">
        <v>27</v>
      </c>
      <c r="O16" s="10">
        <v>0.78549999999999998</v>
      </c>
      <c r="P16" s="10">
        <v>4.7E-2</v>
      </c>
      <c r="Q16" s="10">
        <v>0.13</v>
      </c>
      <c r="R16" s="10">
        <v>3.0000000000000001E-3</v>
      </c>
      <c r="S16" s="9">
        <v>14029</v>
      </c>
    </row>
    <row r="17" spans="1:19" ht="15" customHeight="1" x14ac:dyDescent="0.2">
      <c r="A17" s="7" t="s">
        <v>29</v>
      </c>
      <c r="B17" s="37">
        <f>IFERROR((O18-(O31+O32*P18+O33*Q18+O34*R18+O35*S18))*100,"")</f>
        <v>5.7027425629244561</v>
      </c>
      <c r="C17" s="37">
        <f>IFERROR((O51-(O64+O65*P51+O66*Q51+O67*R51+O68*S51))*100,"")</f>
        <v>2.7548524615600978</v>
      </c>
      <c r="D17" s="37">
        <f>IFERROR((O84-(O97+O98*P84+O99*Q84+O100*R84+O101*S84))*100,"")</f>
        <v>0.44741739624589161</v>
      </c>
      <c r="E17" s="37">
        <f>IFERROR((O117-(O130+O131*P117+O132*Q117+O133*R117+O134*S117))*100,"")</f>
        <v>-2.1258386477322588</v>
      </c>
      <c r="F17" s="37">
        <f>IFERROR((O150-(O163+O164*P150+O165*Q150+O166*R150+O167*S150))*100,"")</f>
        <v>-1.8758707969019517</v>
      </c>
      <c r="G17" s="37">
        <f t="shared" si="0"/>
        <v>0.98066059521924698</v>
      </c>
      <c r="H17" s="38">
        <f t="shared" si="1"/>
        <v>3.2992526554585142</v>
      </c>
      <c r="I17" s="37">
        <f t="shared" si="2"/>
        <v>-2.1258386477322588</v>
      </c>
      <c r="J17" s="37">
        <f t="shared" si="3"/>
        <v>5.7027425629244561</v>
      </c>
      <c r="K17" s="39" t="str">
        <f t="shared" si="4"/>
        <v>mixed</v>
      </c>
      <c r="N17" s="7" t="s">
        <v>28</v>
      </c>
      <c r="O17" s="10">
        <v>0.44900000000000001</v>
      </c>
      <c r="P17" s="10">
        <v>0.315</v>
      </c>
      <c r="Q17" s="10">
        <v>0.214</v>
      </c>
      <c r="R17" s="10">
        <v>7.3999999999999996E-2</v>
      </c>
      <c r="S17" s="9">
        <v>13957</v>
      </c>
    </row>
    <row r="18" spans="1:19" ht="15" customHeight="1" x14ac:dyDescent="0.2">
      <c r="A18" s="7" t="s">
        <v>31</v>
      </c>
      <c r="B18" s="37">
        <f>IFERROR((O19-(O31+O32*P19+O33*Q19+O34*R19+O35*S19))*100,"")</f>
        <v>10.639826895402848</v>
      </c>
      <c r="C18" s="37">
        <f>IFERROR((O52-(O64+O65*P52+O66*Q52+O67*R52+O68*S52))*100,"")</f>
        <v>5.15726437599543</v>
      </c>
      <c r="D18" s="37">
        <f>IFERROR((O85-(O97+O98*P85+O99*Q85+O100*R85+O101*S85))*100,"")</f>
        <v>4.1216692393929</v>
      </c>
      <c r="E18" s="37">
        <f>IFERROR((O118-(O130+O131*P118+O132*Q118+O133*R118+O134*S118))*100,"")</f>
        <v>3.4280043072494548</v>
      </c>
      <c r="F18" s="37">
        <f>IFERROR((O151-(O163+O164*P151+O165*Q151+O166*R151+O167*S151))*100,"")</f>
        <v>1.3269804027587373</v>
      </c>
      <c r="G18" s="37">
        <f t="shared" si="0"/>
        <v>4.934749044159874</v>
      </c>
      <c r="H18" s="38">
        <f t="shared" si="1"/>
        <v>3.4837049029248157</v>
      </c>
      <c r="I18" s="37">
        <f t="shared" si="2"/>
        <v>1.3269804027587373</v>
      </c>
      <c r="J18" s="37">
        <f t="shared" si="3"/>
        <v>10.639826895402848</v>
      </c>
      <c r="K18" s="39" t="str">
        <f t="shared" si="4"/>
        <v>all +</v>
      </c>
      <c r="N18" s="7" t="s">
        <v>29</v>
      </c>
      <c r="O18" s="10">
        <v>0.54349999999999998</v>
      </c>
      <c r="P18" s="10">
        <v>0.30399999999999999</v>
      </c>
      <c r="Q18" s="10">
        <v>0.216</v>
      </c>
      <c r="R18" s="10">
        <v>3.0000000000000001E-3</v>
      </c>
      <c r="S18" s="9">
        <v>21528</v>
      </c>
    </row>
    <row r="19" spans="1:19" ht="15" customHeight="1" x14ac:dyDescent="0.2">
      <c r="A19" s="7" t="s">
        <v>32</v>
      </c>
      <c r="B19" s="37">
        <f>IFERROR((O20-(O31+O32*P20+O33*Q20+O34*R20+O35*S20))*100,"")</f>
        <v>4.9981169349209873</v>
      </c>
      <c r="C19" s="37">
        <f>IFERROR((O53-(O64+O65*P53+O66*Q53+O67*R53+O68*S53))*100,"")</f>
        <v>6.5406054920277512</v>
      </c>
      <c r="D19" s="37">
        <f>IFERROR((O86-(O97+O98*P86+O99*Q86+O100*R86+O101*S86))*100,"")</f>
        <v>7.6833890034420538</v>
      </c>
      <c r="E19" s="37">
        <f>IFERROR((O119-(O130+O131*P119+O132*Q119+O133*R119+O134*S119))*100,"")</f>
        <v>5.1895194691634838</v>
      </c>
      <c r="F19" s="37">
        <f>IFERROR((O152-(O163+O164*P152+O165*Q152+O166*R152+O167*S152))*100,"")</f>
        <v>7.4641151175913798</v>
      </c>
      <c r="G19" s="37">
        <f t="shared" si="0"/>
        <v>6.3751492034291308</v>
      </c>
      <c r="H19" s="38">
        <f t="shared" si="1"/>
        <v>1.2476627804889255</v>
      </c>
      <c r="I19" s="37">
        <f t="shared" si="2"/>
        <v>4.9981169349209873</v>
      </c>
      <c r="J19" s="37">
        <f t="shared" si="3"/>
        <v>7.6833890034420538</v>
      </c>
      <c r="K19" s="39" t="str">
        <f t="shared" si="4"/>
        <v>all +</v>
      </c>
      <c r="N19" s="7" t="s">
        <v>31</v>
      </c>
      <c r="O19" s="10">
        <v>0.72199999999999998</v>
      </c>
      <c r="P19" s="10">
        <v>0.11899999999999999</v>
      </c>
      <c r="Q19" s="10">
        <v>0.17</v>
      </c>
      <c r="R19" s="10">
        <v>1.0999999999999999E-2</v>
      </c>
      <c r="S19" s="9">
        <v>13611</v>
      </c>
    </row>
    <row r="20" spans="1:19" ht="15" customHeight="1" x14ac:dyDescent="0.2">
      <c r="A20" s="7" t="s">
        <v>33</v>
      </c>
      <c r="B20" s="37">
        <f>IFERROR((O21-(O31+O32*P21+O33*Q21+O34*R21+O35*S21))*100,"")</f>
        <v>-0.25458907314467316</v>
      </c>
      <c r="C20" s="37">
        <f>IFERROR((O54-(O64+O65*P54+O66*Q54+O67*R54+O68*S54))*100,"")</f>
        <v>0.35135230970442244</v>
      </c>
      <c r="D20" s="37">
        <f>IFERROR((O87-(O97+O98*P87+O99*Q87+O100*R87+O101*S87))*100,"")</f>
        <v>-0.13432353186353385</v>
      </c>
      <c r="E20" s="37">
        <f>IFERROR((O120-(O130+O131*P120+O132*Q120+O133*R120+O134*S120))*100,"")</f>
        <v>-0.23650189997729276</v>
      </c>
      <c r="F20" s="37">
        <f>IFERROR((O153-(O163+O164*P153+O165*Q153+O166*R153+O167*S153))*100,"")</f>
        <v>2.6930422954263067</v>
      </c>
      <c r="G20" s="37">
        <f t="shared" si="0"/>
        <v>0.48379602002904587</v>
      </c>
      <c r="H20" s="38">
        <f t="shared" si="1"/>
        <v>1.2594069895768132</v>
      </c>
      <c r="I20" s="37">
        <f t="shared" si="2"/>
        <v>-0.25458907314467316</v>
      </c>
      <c r="J20" s="37">
        <f t="shared" si="3"/>
        <v>2.6930422954263067</v>
      </c>
      <c r="K20" s="39" t="str">
        <f t="shared" si="4"/>
        <v>mixed</v>
      </c>
      <c r="N20" s="7" t="s">
        <v>32</v>
      </c>
      <c r="O20" s="10">
        <v>0.47949999999999998</v>
      </c>
      <c r="P20" s="10">
        <v>0.28999999999999998</v>
      </c>
      <c r="Q20" s="10">
        <v>0.19600000000000001</v>
      </c>
      <c r="R20" s="10">
        <v>0.01</v>
      </c>
      <c r="S20" s="9">
        <v>14705</v>
      </c>
    </row>
    <row r="21" spans="1:19" ht="15" customHeight="1" x14ac:dyDescent="0.2">
      <c r="A21" s="7" t="s">
        <v>34</v>
      </c>
      <c r="B21" s="37">
        <f>IFERROR((O22-(O31+O32*P22+O33*Q22+O34*R22+O35*S22))*100,"")</f>
        <v>-1.8403081917454545</v>
      </c>
      <c r="C21" s="37">
        <f>IFERROR((O55-(O64+O65*P55+O66*Q55+O67*R55+O68*S55))*100,"")</f>
        <v>-0.69693308341550742</v>
      </c>
      <c r="D21" s="37">
        <f>IFERROR((O88-(O97+O98*P88+O99*Q88+O100*R88+O101*S88))*100,"")</f>
        <v>-1.4250477776721948</v>
      </c>
      <c r="E21" s="37">
        <f>IFERROR((O121-(O130+O131*P121+O132*Q121+O133*R121+O134*S121))*100,"")</f>
        <v>-0.26860974716643726</v>
      </c>
      <c r="F21" s="37">
        <f>IFERROR((O154-(O163+O164*P154+O165*Q154+O166*R154+O167*S154))*100,"")</f>
        <v>-1.6315517156130888</v>
      </c>
      <c r="G21" s="37">
        <f t="shared" si="0"/>
        <v>-1.1724901031225365</v>
      </c>
      <c r="H21" s="38">
        <f t="shared" si="1"/>
        <v>0.66401395305450517</v>
      </c>
      <c r="I21" s="37">
        <f t="shared" si="2"/>
        <v>-1.8403081917454545</v>
      </c>
      <c r="J21" s="37">
        <f t="shared" si="3"/>
        <v>-0.26860974716643726</v>
      </c>
      <c r="K21" s="39" t="str">
        <f t="shared" si="4"/>
        <v>all -</v>
      </c>
      <c r="N21" s="7" t="s">
        <v>33</v>
      </c>
      <c r="O21" s="10">
        <v>0.72499999999999998</v>
      </c>
      <c r="P21" s="10">
        <v>3.7999999999999999E-2</v>
      </c>
      <c r="Q21" s="10">
        <v>0.157</v>
      </c>
      <c r="R21" s="10">
        <v>3.0000000000000001E-3</v>
      </c>
      <c r="S21" s="9">
        <v>15764</v>
      </c>
    </row>
    <row r="22" spans="1:19" ht="15" customHeight="1" x14ac:dyDescent="0.2">
      <c r="A22" s="7" t="s">
        <v>35</v>
      </c>
      <c r="B22" s="37">
        <f>IFERROR((O23-(O31+O32*P23+O33*Q23+O34*R23+O35*S23))*100,"")</f>
        <v>-4.0423602229665239</v>
      </c>
      <c r="C22" s="37">
        <f>IFERROR((O56-(O64+O65*P56+O66*Q56+O67*R56+O68*S56))*100,"")</f>
        <v>-1.9148373193433654</v>
      </c>
      <c r="D22" s="37">
        <f>IFERROR((O89-(O97+O98*P89+O99*Q89+O100*R89+O101*S89))*100,"")</f>
        <v>-1.500420539317443</v>
      </c>
      <c r="E22" s="37">
        <f>IFERROR((O122-(O130+O131*P122+O132*Q122+O133*R122+O134*S122))*100,"")</f>
        <v>-1.0927350655067281</v>
      </c>
      <c r="F22" s="37">
        <f>IFERROR((O155-(O163+O164*P155+O165*Q155+O166*R155+O167*S155))*100,"")</f>
        <v>-5.6558039821644925</v>
      </c>
      <c r="G22" s="37">
        <f t="shared" si="0"/>
        <v>-2.8412314258597107</v>
      </c>
      <c r="H22" s="38">
        <f t="shared" si="1"/>
        <v>1.9415038281039649</v>
      </c>
      <c r="I22" s="37">
        <f t="shared" si="2"/>
        <v>-5.6558039821644925</v>
      </c>
      <c r="J22" s="37">
        <f t="shared" si="3"/>
        <v>-1.0927350655067281</v>
      </c>
      <c r="K22" s="39" t="str">
        <f t="shared" si="4"/>
        <v>all -</v>
      </c>
      <c r="N22" s="7" t="s">
        <v>34</v>
      </c>
      <c r="O22" s="10">
        <v>0.60499999999999998</v>
      </c>
      <c r="P22" s="10">
        <v>0.124</v>
      </c>
      <c r="Q22" s="10">
        <v>0.14199999999999999</v>
      </c>
      <c r="R22" s="10">
        <v>0.01</v>
      </c>
      <c r="S22" s="9">
        <v>14217</v>
      </c>
    </row>
    <row r="23" spans="1:19" ht="15" customHeight="1" x14ac:dyDescent="0.2">
      <c r="A23" s="7" t="s">
        <v>36</v>
      </c>
      <c r="B23" s="37">
        <f>IFERROR((O24-(O31+O32*P24+O33*Q24+O34*R24+O35*S24))*100,"")</f>
        <v>1.8842888331229379</v>
      </c>
      <c r="C23" s="37">
        <f>IFERROR((O57-(O64+O65*P57+O66*Q57+O67*R57+O68*S57))*100,"")</f>
        <v>-1.0012341739654318</v>
      </c>
      <c r="D23" s="37">
        <f>IFERROR((O90-(O97+O98*P90+O99*Q90+O100*R90+O101*S90))*100,"")</f>
        <v>-1.6315605286281898</v>
      </c>
      <c r="E23" s="37">
        <f>IFERROR((O123-(O130+O131*P123+O132*Q123+O133*R123+O134*S123))*100,"")</f>
        <v>-0.92839196831796533</v>
      </c>
      <c r="F23" s="37">
        <f>IFERROR((O156-(O163+O164*P156+O165*Q156+O166*R156+O167*S156))*100,"")</f>
        <v>0.75469867495608911</v>
      </c>
      <c r="G23" s="37">
        <f t="shared" si="0"/>
        <v>-0.18443983256651197</v>
      </c>
      <c r="H23" s="38">
        <f t="shared" si="1"/>
        <v>1.4557124985687859</v>
      </c>
      <c r="I23" s="37">
        <f t="shared" si="2"/>
        <v>-1.6315605286281898</v>
      </c>
      <c r="J23" s="37">
        <f t="shared" si="3"/>
        <v>1.8842888331229379</v>
      </c>
      <c r="K23" s="39" t="str">
        <f t="shared" si="4"/>
        <v>mixed</v>
      </c>
      <c r="N23" s="7" t="s">
        <v>35</v>
      </c>
      <c r="O23" s="10">
        <v>0.50049999999999994</v>
      </c>
      <c r="P23" s="10">
        <v>0.23200000000000001</v>
      </c>
      <c r="Q23" s="10">
        <v>0.19800000000000001</v>
      </c>
      <c r="R23" s="10">
        <v>1.6E-2</v>
      </c>
      <c r="S23" s="9">
        <v>17850</v>
      </c>
    </row>
    <row r="24" spans="1:19" ht="15" customHeight="1" x14ac:dyDescent="0.2">
      <c r="A24" s="7" t="s">
        <v>37</v>
      </c>
      <c r="B24" s="37">
        <f>IFERROR((O25-(O31+O32*P25+O33*Q25+O34*R25+O35*S25))*100,"")</f>
        <v>-0.2011328639231813</v>
      </c>
      <c r="C24" s="37">
        <f>IFERROR((O58-(O64+O65*P58+O66*Q58+O67*R58+O68*S58))*100,"")</f>
        <v>3.3435315891431561</v>
      </c>
      <c r="D24" s="37">
        <f>IFERROR((O91-(O97+O98*P91+O99*Q91+O100*R91+O101*S91))*100,"")</f>
        <v>0.94445704434363842</v>
      </c>
      <c r="E24" s="37">
        <f>IFERROR((O124-(O130+O131*P124+O132*Q124+O133*R124+O134*S124))*100,"")</f>
        <v>2.6203899277077838</v>
      </c>
      <c r="F24" s="37">
        <f>IFERROR((O157-(O163+O164*P157+O165*Q157+O166*R157+O167*S157))*100,"")</f>
        <v>3.1819263097846773</v>
      </c>
      <c r="G24" s="37">
        <f t="shared" si="0"/>
        <v>1.9778344014112146</v>
      </c>
      <c r="H24" s="38">
        <f t="shared" si="1"/>
        <v>1.5446367568349582</v>
      </c>
      <c r="I24" s="37">
        <f t="shared" si="2"/>
        <v>-0.2011328639231813</v>
      </c>
      <c r="J24" s="37">
        <f t="shared" si="3"/>
        <v>3.3435315891431561</v>
      </c>
      <c r="K24" s="39" t="str">
        <f t="shared" si="4"/>
        <v>mixed</v>
      </c>
      <c r="N24" s="7" t="s">
        <v>36</v>
      </c>
      <c r="O24" s="10">
        <v>0.56950000000000001</v>
      </c>
      <c r="P24" s="10">
        <v>0.34499999999999997</v>
      </c>
      <c r="Q24" s="10">
        <v>0.185</v>
      </c>
      <c r="R24" s="10">
        <v>0.155</v>
      </c>
      <c r="S24" s="9">
        <v>15403</v>
      </c>
    </row>
    <row r="25" spans="1:19" ht="15" customHeight="1" x14ac:dyDescent="0.2">
      <c r="A25" s="7" t="s">
        <v>38</v>
      </c>
      <c r="B25" s="37">
        <f>IFERROR((O26-(O31+O32*P26+O33*Q26+O34*R26+O35*S26))*100,"")</f>
        <v>3.7593079478491997</v>
      </c>
      <c r="C25" s="37">
        <f>IFERROR((O59-(O64+O65*P59+O66*Q59+O67*R59+O68*S59))*100,"")</f>
        <v>5.2559367474546814</v>
      </c>
      <c r="D25" s="37">
        <f>IFERROR((O92-(O97+O98*P92+O99*Q92+O100*R92+O101*S92))*100,"")</f>
        <v>2.6817121326598969</v>
      </c>
      <c r="E25" s="37">
        <f>IFERROR((O125-(O130+O131*P125+O132*Q125+O133*R125+O134*S125))*100,"")</f>
        <v>1.6776419538291676</v>
      </c>
      <c r="F25" s="37">
        <f>IFERROR((O158-(O163+O164*P158+O165*Q158+O166*R158+O167*S158))*100,"")</f>
        <v>0.33850257408262197</v>
      </c>
      <c r="G25" s="37">
        <f t="shared" si="0"/>
        <v>2.7426202711751135</v>
      </c>
      <c r="H25" s="38">
        <f t="shared" si="1"/>
        <v>1.8886558752898184</v>
      </c>
      <c r="I25" s="37">
        <f t="shared" si="2"/>
        <v>0.33850257408262197</v>
      </c>
      <c r="J25" s="37">
        <f t="shared" si="3"/>
        <v>5.2559367474546814</v>
      </c>
      <c r="K25" s="39" t="str">
        <f t="shared" si="4"/>
        <v>all +</v>
      </c>
      <c r="N25" s="7" t="s">
        <v>37</v>
      </c>
      <c r="O25" s="10">
        <v>0.47099999999999997</v>
      </c>
      <c r="P25" s="10">
        <v>0.32500000000000001</v>
      </c>
      <c r="Q25" s="10">
        <v>0.16800000000000001</v>
      </c>
      <c r="R25" s="10">
        <v>6.2E-2</v>
      </c>
      <c r="S25" s="9">
        <v>15847</v>
      </c>
    </row>
    <row r="26" spans="1:19" ht="15" customHeight="1" x14ac:dyDescent="0.2">
      <c r="A26" s="7" t="s">
        <v>41</v>
      </c>
      <c r="B26" s="37">
        <f>IFERROR((O27-(O31+O32*P27+O33*Q27+O34*R27+O35*S27))*100,"")</f>
        <v>-1.7324257824375411</v>
      </c>
      <c r="C26" s="37">
        <f>IFERROR((O60-(O64+O65*P60+O66*Q60+O67*R60+O68*S60))*100,"")</f>
        <v>-0.40867749799321507</v>
      </c>
      <c r="D26" s="37">
        <f>IFERROR((O93-(O97+O98*P93+O99*Q93+O100*R93+O101*S93))*100,"")</f>
        <v>-0.40049125175392608</v>
      </c>
      <c r="E26" s="37">
        <f>IFERROR((O126-(O130+O131*P126+O132*Q126+O133*R126+O134*S126))*100,"")</f>
        <v>0.99826777237731479</v>
      </c>
      <c r="F26" s="37">
        <f>IFERROR((O159-(O163+O164*P159+O165*Q159+O166*R159+O167*S159))*100,"")</f>
        <v>2.0156575939159871</v>
      </c>
      <c r="G26" s="37">
        <f t="shared" si="0"/>
        <v>9.4466166821723971E-2</v>
      </c>
      <c r="H26" s="38">
        <f t="shared" si="1"/>
        <v>1.4442562471441964</v>
      </c>
      <c r="I26" s="37">
        <f t="shared" si="2"/>
        <v>-1.7324257824375411</v>
      </c>
      <c r="J26" s="37">
        <f t="shared" si="3"/>
        <v>2.0156575939159871</v>
      </c>
      <c r="K26" s="39" t="str">
        <f t="shared" si="4"/>
        <v>mixed</v>
      </c>
      <c r="N26" s="7" t="s">
        <v>38</v>
      </c>
      <c r="O26" s="10">
        <v>0.6905</v>
      </c>
      <c r="P26" s="10">
        <v>0.104</v>
      </c>
      <c r="Q26" s="10">
        <v>0.14199999999999999</v>
      </c>
      <c r="R26" s="10">
        <v>6.0000000000000001E-3</v>
      </c>
      <c r="S26" s="9">
        <v>15150</v>
      </c>
    </row>
    <row r="27" spans="1:19" ht="15" customHeight="1" x14ac:dyDescent="0.2">
      <c r="A27" s="11" t="s">
        <v>42</v>
      </c>
      <c r="B27" s="41">
        <f>IFERROR((O28-(O31+O32*P28+O33*Q28+O34*R28+O35*S28))*100,"")</f>
        <v>-3.559965152799649</v>
      </c>
      <c r="C27" s="41">
        <f>IFERROR((O61-(O64+O65*P61+O66*Q61+O67*R61+O68*S61))*100,"")</f>
        <v>-3.7405352287127047</v>
      </c>
      <c r="D27" s="41">
        <f>IFERROR((O94-(O97+O98*P94+O99*Q94+O100*R94+O101*S94))*100,"")</f>
        <v>-2.7228865407412983</v>
      </c>
      <c r="E27" s="41">
        <f>IFERROR((O127-(O130+O131*P127+O132*Q127+O133*R127+O134*S127))*100,"")</f>
        <v>-1.8551745776693218</v>
      </c>
      <c r="F27" s="41">
        <f>IFERROR((O160-(O163+O164*P160+O165*Q160+O166*R160+O167*S160))*100,"")</f>
        <v>-3.9359192614370042</v>
      </c>
      <c r="G27" s="41">
        <f t="shared" si="0"/>
        <v>-3.1628961522719954</v>
      </c>
      <c r="H27" s="42">
        <f t="shared" si="1"/>
        <v>0.86496236855066999</v>
      </c>
      <c r="I27" s="41">
        <f t="shared" si="2"/>
        <v>-3.9359192614370042</v>
      </c>
      <c r="J27" s="41">
        <f t="shared" si="3"/>
        <v>-1.8551745776693218</v>
      </c>
      <c r="K27" s="43" t="str">
        <f t="shared" si="4"/>
        <v>all -</v>
      </c>
      <c r="N27" s="7" t="s">
        <v>41</v>
      </c>
      <c r="O27" s="10">
        <v>0.45700000000000002</v>
      </c>
      <c r="P27" s="10">
        <v>0.28599999999999998</v>
      </c>
      <c r="Q27" s="10">
        <v>0.192</v>
      </c>
      <c r="R27" s="10">
        <v>3.7999999999999999E-2</v>
      </c>
      <c r="S27" s="9">
        <v>15198</v>
      </c>
    </row>
    <row r="28" spans="1:19" ht="15" customHeight="1" x14ac:dyDescent="0.2">
      <c r="N28" s="7" t="s">
        <v>42</v>
      </c>
      <c r="O28" s="10">
        <v>0.49</v>
      </c>
      <c r="P28" s="10">
        <v>0.20200000000000001</v>
      </c>
      <c r="Q28" s="10">
        <v>0.151</v>
      </c>
      <c r="R28" s="10">
        <v>1.2E-2</v>
      </c>
      <c r="S28" s="9">
        <v>13403</v>
      </c>
    </row>
    <row r="30" spans="1:19" ht="15" customHeight="1" x14ac:dyDescent="0.2">
      <c r="A30" s="25" t="s">
        <v>113</v>
      </c>
      <c r="N30" s="25" t="s">
        <v>114</v>
      </c>
    </row>
    <row r="31" spans="1:19" ht="15" customHeight="1" x14ac:dyDescent="0.2">
      <c r="A31" s="26" t="s">
        <v>115</v>
      </c>
      <c r="B31" s="44">
        <f>COUNTIF(K7:K27,"all +")</f>
        <v>5</v>
      </c>
      <c r="N31" s="26" t="s">
        <v>83</v>
      </c>
      <c r="O31" s="30">
        <f>INDEX(LINEST(O8:O28,P8:S28,TRUE(),FALSE()),1,5)</f>
        <v>0.60722721893998244</v>
      </c>
    </row>
    <row r="32" spans="1:19" ht="15" customHeight="1" x14ac:dyDescent="0.2">
      <c r="A32" s="26" t="s">
        <v>116</v>
      </c>
      <c r="B32" s="44">
        <f>COUNTIF(K7:K27,"all -")</f>
        <v>6</v>
      </c>
      <c r="N32" s="26" t="s">
        <v>117</v>
      </c>
      <c r="O32" s="30">
        <f>INDEX(LINEST(O8:O28,P8:S28,TRUE(),FALSE()),1,4)</f>
        <v>-1.1240265600383446</v>
      </c>
    </row>
    <row r="33" spans="1:19" ht="15" customHeight="1" x14ac:dyDescent="0.2">
      <c r="A33" s="26" t="s">
        <v>118</v>
      </c>
      <c r="B33" s="44">
        <f>COUNTIF(K7:K27,"mixed")</f>
        <v>10</v>
      </c>
      <c r="N33" s="26" t="s">
        <v>119</v>
      </c>
      <c r="O33" s="30">
        <f>INDEX(LINEST(O8:O28,P8:S28,TRUE(),FALSE()),1,3)</f>
        <v>-0.24894179909781561</v>
      </c>
    </row>
    <row r="34" spans="1:19" ht="15" customHeight="1" x14ac:dyDescent="0.2">
      <c r="N34" s="26" t="s">
        <v>120</v>
      </c>
      <c r="O34" s="30">
        <f>INDEX(LINEST(O8:O28,P8:S28,TRUE(),FALSE()),1,2)</f>
        <v>1.1822698991614002</v>
      </c>
    </row>
    <row r="35" spans="1:19" ht="15" customHeight="1" x14ac:dyDescent="0.2">
      <c r="A35" s="2" t="s">
        <v>121</v>
      </c>
      <c r="B35" s="2"/>
      <c r="C35" s="2"/>
      <c r="D35" s="2"/>
      <c r="E35" s="2"/>
      <c r="F35" s="2"/>
      <c r="G35" s="2"/>
      <c r="H35" s="2"/>
      <c r="I35" s="2"/>
      <c r="J35" s="2"/>
      <c r="K35" s="2"/>
      <c r="N35" s="26" t="s">
        <v>122</v>
      </c>
      <c r="O35" s="30">
        <f>INDEX(LINEST(O8:O28,P8:S28,TRUE(),FALSE()),1,1)</f>
        <v>1.2596341907751471E-5</v>
      </c>
    </row>
    <row r="36" spans="1:19" ht="15" customHeight="1" x14ac:dyDescent="0.2">
      <c r="A36" s="1" t="s">
        <v>123</v>
      </c>
      <c r="B36" s="1"/>
      <c r="C36" s="1"/>
      <c r="D36" s="1"/>
      <c r="E36" s="1"/>
      <c r="F36" s="1"/>
      <c r="G36" s="1"/>
      <c r="H36" s="1"/>
      <c r="I36" s="1"/>
      <c r="J36" s="1"/>
      <c r="K36" s="1"/>
      <c r="N36" s="26" t="s">
        <v>124</v>
      </c>
      <c r="O36" s="31">
        <f>INDEX(LINEST(O8:O28,P8:S28,TRUE(),TRUE()),3,1)</f>
        <v>0.79512733904009059</v>
      </c>
    </row>
    <row r="37" spans="1:19" ht="15" customHeight="1" x14ac:dyDescent="0.2">
      <c r="A37" s="1" t="s">
        <v>125</v>
      </c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9" ht="15" customHeight="1" x14ac:dyDescent="0.2">
      <c r="A38" s="1" t="s">
        <v>126</v>
      </c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9" ht="15" customHeight="1" x14ac:dyDescent="0.2">
      <c r="A39" s="1" t="s">
        <v>127</v>
      </c>
      <c r="B39" s="1"/>
      <c r="C39" s="1"/>
      <c r="D39" s="1"/>
      <c r="E39" s="1"/>
      <c r="F39" s="1"/>
      <c r="G39" s="1"/>
      <c r="H39" s="1"/>
      <c r="I39" s="1"/>
      <c r="J39" s="1"/>
      <c r="K39" s="1"/>
      <c r="N39" s="25" t="s">
        <v>104</v>
      </c>
    </row>
    <row r="40" spans="1:19" ht="15" customHeight="1" x14ac:dyDescent="0.2">
      <c r="A40" s="1" t="s">
        <v>128</v>
      </c>
      <c r="B40" s="1"/>
      <c r="C40" s="1"/>
      <c r="D40" s="1"/>
      <c r="E40" s="1"/>
      <c r="F40" s="1"/>
      <c r="G40" s="1"/>
      <c r="H40" s="1"/>
      <c r="I40" s="1"/>
      <c r="J40" s="1"/>
      <c r="K40" s="1"/>
      <c r="N40" s="40" t="s">
        <v>2</v>
      </c>
      <c r="O40" s="40" t="s">
        <v>9</v>
      </c>
      <c r="P40" s="40" t="s">
        <v>10</v>
      </c>
      <c r="Q40" s="40" t="s">
        <v>12</v>
      </c>
      <c r="R40" s="40" t="s">
        <v>11</v>
      </c>
      <c r="S40" s="40" t="s">
        <v>5</v>
      </c>
    </row>
    <row r="41" spans="1:19" ht="1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N41" s="7" t="s">
        <v>15</v>
      </c>
      <c r="O41" s="10">
        <v>0.43049999999999999</v>
      </c>
      <c r="P41" s="10">
        <v>0.29699999999999999</v>
      </c>
      <c r="Q41" s="10">
        <v>0.158</v>
      </c>
      <c r="R41" s="10">
        <v>7.6999999999999999E-2</v>
      </c>
      <c r="S41" s="9">
        <v>14888</v>
      </c>
    </row>
    <row r="42" spans="1:19" ht="15" customHeight="1" x14ac:dyDescent="0.2">
      <c r="A42" s="2" t="s">
        <v>129</v>
      </c>
      <c r="B42" s="2"/>
      <c r="C42" s="2"/>
      <c r="D42" s="2"/>
      <c r="E42" s="2"/>
      <c r="F42" s="2"/>
      <c r="G42" s="2"/>
      <c r="H42" s="2"/>
      <c r="I42" s="2"/>
      <c r="J42" s="2"/>
      <c r="K42" s="2"/>
      <c r="N42" s="7" t="s">
        <v>17</v>
      </c>
      <c r="O42" s="10">
        <v>0.51649999999999996</v>
      </c>
      <c r="P42" s="10">
        <v>0.219</v>
      </c>
      <c r="Q42" s="10">
        <v>0.19900000000000001</v>
      </c>
      <c r="R42" s="10">
        <v>6.0999999999999999E-2</v>
      </c>
      <c r="S42" s="9">
        <v>16436</v>
      </c>
    </row>
    <row r="43" spans="1:19" ht="15" customHeight="1" x14ac:dyDescent="0.2">
      <c r="A43" s="1" t="s">
        <v>130</v>
      </c>
      <c r="B43" s="1"/>
      <c r="C43" s="1"/>
      <c r="D43" s="1"/>
      <c r="E43" s="1"/>
      <c r="F43" s="1"/>
      <c r="G43" s="1"/>
      <c r="H43" s="1"/>
      <c r="I43" s="1"/>
      <c r="J43" s="1"/>
      <c r="K43" s="1"/>
      <c r="N43" s="7" t="s">
        <v>18</v>
      </c>
      <c r="O43" s="10">
        <v>0.442</v>
      </c>
      <c r="P43" s="10">
        <v>0.20499999999999999</v>
      </c>
      <c r="Q43" s="10">
        <v>0.16300000000000001</v>
      </c>
      <c r="R43" s="10">
        <v>2.8000000000000001E-2</v>
      </c>
      <c r="S43" s="9">
        <v>14008</v>
      </c>
    </row>
    <row r="44" spans="1:19" ht="15" customHeight="1" x14ac:dyDescent="0.2">
      <c r="A44" s="1" t="s">
        <v>131</v>
      </c>
      <c r="B44" s="1"/>
      <c r="C44" s="1"/>
      <c r="D44" s="1"/>
      <c r="E44" s="1"/>
      <c r="F44" s="1"/>
      <c r="G44" s="1"/>
      <c r="H44" s="1"/>
      <c r="I44" s="1"/>
      <c r="J44" s="1"/>
      <c r="K44" s="1"/>
      <c r="N44" s="7" t="s">
        <v>20</v>
      </c>
      <c r="O44" s="10">
        <v>0.309</v>
      </c>
      <c r="P44" s="10">
        <v>0.255</v>
      </c>
      <c r="Q44" s="10">
        <v>0.193</v>
      </c>
      <c r="R44" s="10">
        <v>1.4E-2</v>
      </c>
      <c r="S44" s="9">
        <v>17155</v>
      </c>
    </row>
    <row r="45" spans="1:19" ht="1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N45" s="7" t="s">
        <v>21</v>
      </c>
      <c r="O45" s="10">
        <v>0.57699999999999996</v>
      </c>
      <c r="P45" s="10">
        <v>5.7000000000000002E-2</v>
      </c>
      <c r="Q45" s="10">
        <v>0.13100000000000001</v>
      </c>
      <c r="R45" s="10">
        <v>1E-3</v>
      </c>
      <c r="S45" s="9">
        <v>19416</v>
      </c>
    </row>
    <row r="46" spans="1:19" ht="15" customHeight="1" x14ac:dyDescent="0.2">
      <c r="A46" s="2" t="s">
        <v>132</v>
      </c>
      <c r="B46" s="2"/>
      <c r="C46" s="2"/>
      <c r="D46" s="2"/>
      <c r="E46" s="2"/>
      <c r="F46" s="2"/>
      <c r="G46" s="2"/>
      <c r="H46" s="2"/>
      <c r="I46" s="2"/>
      <c r="J46" s="2"/>
      <c r="K46" s="2"/>
      <c r="N46" s="7" t="s">
        <v>22</v>
      </c>
      <c r="O46" s="10">
        <v>0.59050000000000002</v>
      </c>
      <c r="P46" s="10">
        <v>6.7000000000000004E-2</v>
      </c>
      <c r="Q46" s="10">
        <v>0.14699999999999999</v>
      </c>
      <c r="R46" s="10">
        <v>3.0000000000000001E-3</v>
      </c>
      <c r="S46" s="9">
        <v>17597</v>
      </c>
    </row>
    <row r="47" spans="1:19" ht="15" customHeight="1" x14ac:dyDescent="0.2">
      <c r="A47" s="2" t="s">
        <v>133</v>
      </c>
      <c r="B47" s="2"/>
      <c r="C47" s="2"/>
      <c r="D47" s="2"/>
      <c r="E47" s="2"/>
      <c r="F47" s="2"/>
      <c r="G47" s="2"/>
      <c r="H47" s="2"/>
      <c r="I47" s="2"/>
      <c r="J47" s="2"/>
      <c r="K47" s="2"/>
      <c r="N47" s="7" t="s">
        <v>23</v>
      </c>
      <c r="O47" s="10">
        <v>0.40699999999999997</v>
      </c>
      <c r="P47" s="10">
        <v>0.223</v>
      </c>
      <c r="Q47" s="10">
        <v>0.17399999999999999</v>
      </c>
      <c r="R47" s="10">
        <v>8.0000000000000002E-3</v>
      </c>
      <c r="S47" s="9">
        <v>14669</v>
      </c>
    </row>
    <row r="48" spans="1:19" ht="15" customHeight="1" x14ac:dyDescent="0.2">
      <c r="N48" s="7" t="s">
        <v>26</v>
      </c>
      <c r="O48" s="10">
        <v>0.55400000000000005</v>
      </c>
      <c r="P48" s="10">
        <v>9.2999999999999999E-2</v>
      </c>
      <c r="Q48" s="10">
        <v>0.184</v>
      </c>
      <c r="R48" s="10">
        <v>0.01</v>
      </c>
      <c r="S48" s="9">
        <v>14714</v>
      </c>
    </row>
    <row r="49" spans="14:19" ht="15" customHeight="1" x14ac:dyDescent="0.2">
      <c r="N49" s="7" t="s">
        <v>27</v>
      </c>
      <c r="O49" s="10">
        <v>0.69199999999999995</v>
      </c>
      <c r="P49" s="10">
        <v>6.4000000000000001E-2</v>
      </c>
      <c r="Q49" s="10">
        <v>0.13600000000000001</v>
      </c>
      <c r="R49" s="10">
        <v>3.0000000000000001E-3</v>
      </c>
      <c r="S49" s="9">
        <v>16334</v>
      </c>
    </row>
    <row r="50" spans="14:19" ht="15" customHeight="1" x14ac:dyDescent="0.2">
      <c r="N50" s="7" t="s">
        <v>28</v>
      </c>
      <c r="O50" s="10">
        <v>0.34050000000000002</v>
      </c>
      <c r="P50" s="10">
        <v>0.34200000000000003</v>
      </c>
      <c r="Q50" s="10">
        <v>0.192</v>
      </c>
      <c r="R50" s="10">
        <v>5.3999999999999999E-2</v>
      </c>
      <c r="S50" s="9">
        <v>15021</v>
      </c>
    </row>
    <row r="51" spans="14:19" ht="15" customHeight="1" x14ac:dyDescent="0.2">
      <c r="N51" s="7" t="s">
        <v>29</v>
      </c>
      <c r="O51" s="10">
        <v>0.44900000000000001</v>
      </c>
      <c r="P51" s="10">
        <v>0.32900000000000001</v>
      </c>
      <c r="Q51" s="10">
        <v>0.21199999999999999</v>
      </c>
      <c r="R51" s="10">
        <v>1.2999999999999999E-2</v>
      </c>
      <c r="S51" s="9">
        <v>24941</v>
      </c>
    </row>
    <row r="52" spans="14:19" ht="15" customHeight="1" x14ac:dyDescent="0.2">
      <c r="N52" s="7" t="s">
        <v>31</v>
      </c>
      <c r="O52" s="10">
        <v>0.57499999999999996</v>
      </c>
      <c r="P52" s="10">
        <v>0.14099999999999999</v>
      </c>
      <c r="Q52" s="10">
        <v>0.189</v>
      </c>
      <c r="R52" s="10">
        <v>1.2E-2</v>
      </c>
      <c r="S52" s="9">
        <v>15789</v>
      </c>
    </row>
    <row r="53" spans="14:19" ht="15" customHeight="1" x14ac:dyDescent="0.2">
      <c r="N53" s="7" t="s">
        <v>32</v>
      </c>
      <c r="O53" s="10">
        <v>0.39900000000000002</v>
      </c>
      <c r="P53" s="10">
        <v>0.32800000000000001</v>
      </c>
      <c r="Q53" s="10">
        <v>0.191</v>
      </c>
      <c r="R53" s="10">
        <v>1.4E-2</v>
      </c>
      <c r="S53" s="9">
        <v>15646</v>
      </c>
    </row>
    <row r="54" spans="14:19" ht="15" customHeight="1" x14ac:dyDescent="0.2">
      <c r="N54" s="7" t="s">
        <v>33</v>
      </c>
      <c r="O54" s="10">
        <v>0.622</v>
      </c>
      <c r="P54" s="10">
        <v>4.4999999999999998E-2</v>
      </c>
      <c r="Q54" s="10">
        <v>0.158</v>
      </c>
      <c r="R54" s="10">
        <v>2E-3</v>
      </c>
      <c r="S54" s="9">
        <v>16059</v>
      </c>
    </row>
    <row r="55" spans="14:19" ht="15" customHeight="1" x14ac:dyDescent="0.2">
      <c r="N55" s="7" t="s">
        <v>34</v>
      </c>
      <c r="O55" s="10">
        <v>0.51500000000000001</v>
      </c>
      <c r="P55" s="10">
        <v>0.14899999999999999</v>
      </c>
      <c r="Q55" s="10">
        <v>0.152</v>
      </c>
      <c r="R55" s="10">
        <v>1.4E-2</v>
      </c>
      <c r="S55" s="9">
        <v>15658</v>
      </c>
    </row>
    <row r="56" spans="14:19" ht="15" customHeight="1" x14ac:dyDescent="0.2">
      <c r="N56" s="7" t="s">
        <v>35</v>
      </c>
      <c r="O56" s="10">
        <v>0.41949999999999998</v>
      </c>
      <c r="P56" s="10">
        <v>0.27</v>
      </c>
      <c r="Q56" s="10">
        <v>0.2</v>
      </c>
      <c r="R56" s="10">
        <v>2.8000000000000001E-2</v>
      </c>
      <c r="S56" s="9">
        <v>18955</v>
      </c>
    </row>
    <row r="57" spans="14:19" ht="15" customHeight="1" x14ac:dyDescent="0.2">
      <c r="N57" s="7" t="s">
        <v>36</v>
      </c>
      <c r="O57" s="10">
        <v>0.41699999999999998</v>
      </c>
      <c r="P57" s="10">
        <v>0.39</v>
      </c>
      <c r="Q57" s="10">
        <v>0.19700000000000001</v>
      </c>
      <c r="R57" s="10">
        <v>0.157</v>
      </c>
      <c r="S57" s="9">
        <v>16750</v>
      </c>
    </row>
    <row r="58" spans="14:19" ht="15" customHeight="1" x14ac:dyDescent="0.2">
      <c r="N58" s="7" t="s">
        <v>37</v>
      </c>
      <c r="O58" s="10">
        <v>0.372</v>
      </c>
      <c r="P58" s="10">
        <v>0.41399999999999998</v>
      </c>
      <c r="Q58" s="10">
        <v>0.186</v>
      </c>
      <c r="R58" s="10">
        <v>0.08</v>
      </c>
      <c r="S58" s="9">
        <v>18044</v>
      </c>
    </row>
    <row r="59" spans="14:19" ht="15" customHeight="1" x14ac:dyDescent="0.2">
      <c r="N59" s="7" t="s">
        <v>38</v>
      </c>
      <c r="O59" s="10">
        <v>0.61150000000000004</v>
      </c>
      <c r="P59" s="10">
        <v>0.111</v>
      </c>
      <c r="Q59" s="10">
        <v>0.14499999999999999</v>
      </c>
      <c r="R59" s="10">
        <v>4.0000000000000001E-3</v>
      </c>
      <c r="S59" s="9">
        <v>16400</v>
      </c>
    </row>
    <row r="60" spans="14:19" ht="15" customHeight="1" x14ac:dyDescent="0.2">
      <c r="N60" s="7" t="s">
        <v>41</v>
      </c>
      <c r="O60" s="10">
        <v>0.36199999999999999</v>
      </c>
      <c r="P60" s="10">
        <v>0.35</v>
      </c>
      <c r="Q60" s="10">
        <v>0.21099999999999999</v>
      </c>
      <c r="R60" s="10">
        <v>5.5E-2</v>
      </c>
      <c r="S60" s="9">
        <v>17252</v>
      </c>
    </row>
    <row r="61" spans="14:19" ht="15" customHeight="1" x14ac:dyDescent="0.2">
      <c r="N61" s="7" t="s">
        <v>42</v>
      </c>
      <c r="O61" s="10">
        <v>0.40350000000000003</v>
      </c>
      <c r="P61" s="10">
        <v>0.22500000000000001</v>
      </c>
      <c r="Q61" s="10">
        <v>0.158</v>
      </c>
      <c r="R61" s="10">
        <v>1.9E-2</v>
      </c>
      <c r="S61" s="9">
        <v>14866</v>
      </c>
    </row>
    <row r="63" spans="14:19" ht="15" customHeight="1" x14ac:dyDescent="0.2">
      <c r="N63" s="25" t="s">
        <v>114</v>
      </c>
    </row>
    <row r="64" spans="14:19" ht="15" customHeight="1" x14ac:dyDescent="0.2">
      <c r="N64" s="26" t="s">
        <v>83</v>
      </c>
      <c r="O64" s="30">
        <f>INDEX(LINEST(O41:O61,P41:S61,TRUE(),FALSE()),1,5)</f>
        <v>0.52642716196011374</v>
      </c>
    </row>
    <row r="65" spans="14:19" ht="15" customHeight="1" x14ac:dyDescent="0.2">
      <c r="N65" s="26" t="s">
        <v>117</v>
      </c>
      <c r="O65" s="30">
        <f>INDEX(LINEST(O41:O61,P41:S61,TRUE(),FALSE()),1,4)</f>
        <v>-1.0167054476090003</v>
      </c>
    </row>
    <row r="66" spans="14:19" ht="15" customHeight="1" x14ac:dyDescent="0.2">
      <c r="N66" s="26" t="s">
        <v>119</v>
      </c>
      <c r="O66" s="30">
        <f>INDEX(LINEST(O41:O61,P41:S61,TRUE(),FALSE()),1,3)</f>
        <v>-0.16063323997787796</v>
      </c>
    </row>
    <row r="67" spans="14:19" ht="15" customHeight="1" x14ac:dyDescent="0.2">
      <c r="N67" s="26" t="s">
        <v>120</v>
      </c>
      <c r="O67" s="30">
        <f>INDEX(LINEST(O41:O61,P41:S61,TRUE(),FALSE()),1,2)</f>
        <v>1.0233553895762901</v>
      </c>
    </row>
    <row r="68" spans="14:19" ht="15" customHeight="1" x14ac:dyDescent="0.2">
      <c r="N68" s="26" t="s">
        <v>122</v>
      </c>
      <c r="O68" s="30">
        <f>INDEX(LINEST(O41:O61,P41:S61,TRUE(),FALSE()),1,1)</f>
        <v>1.0034522773684487E-5</v>
      </c>
    </row>
    <row r="69" spans="14:19" ht="15" customHeight="1" x14ac:dyDescent="0.2">
      <c r="N69" s="26" t="s">
        <v>124</v>
      </c>
      <c r="O69" s="31">
        <f>INDEX(LINEST(O41:O61,P41:S61,TRUE(),TRUE()),3,1)</f>
        <v>0.82245703587342023</v>
      </c>
    </row>
    <row r="72" spans="14:19" ht="15" customHeight="1" x14ac:dyDescent="0.2">
      <c r="N72" s="25" t="s">
        <v>105</v>
      </c>
    </row>
    <row r="73" spans="14:19" ht="15" customHeight="1" x14ac:dyDescent="0.2">
      <c r="N73" s="40" t="s">
        <v>2</v>
      </c>
      <c r="O73" s="40" t="s">
        <v>9</v>
      </c>
      <c r="P73" s="40" t="s">
        <v>10</v>
      </c>
      <c r="Q73" s="40" t="s">
        <v>12</v>
      </c>
      <c r="R73" s="40" t="s">
        <v>11</v>
      </c>
      <c r="S73" s="40" t="s">
        <v>5</v>
      </c>
    </row>
    <row r="74" spans="14:19" ht="15" customHeight="1" x14ac:dyDescent="0.2">
      <c r="N74" s="7" t="s">
        <v>15</v>
      </c>
      <c r="O74" s="10">
        <v>0.45150000000000001</v>
      </c>
      <c r="P74" s="10">
        <v>0.39300000000000002</v>
      </c>
      <c r="Q74" s="10">
        <v>0.17499999999999999</v>
      </c>
      <c r="R74" s="10">
        <v>9.0999999999999998E-2</v>
      </c>
      <c r="S74" s="9">
        <v>15650</v>
      </c>
    </row>
    <row r="75" spans="14:19" ht="15" customHeight="1" x14ac:dyDescent="0.2">
      <c r="N75" s="7" t="s">
        <v>17</v>
      </c>
      <c r="O75" s="10">
        <v>0.51600000000000001</v>
      </c>
      <c r="P75" s="10">
        <v>0.3</v>
      </c>
      <c r="Q75" s="10">
        <v>0.20799999999999999</v>
      </c>
      <c r="R75" s="10">
        <v>6.8000000000000005E-2</v>
      </c>
      <c r="S75" s="9">
        <v>16009</v>
      </c>
    </row>
    <row r="76" spans="14:19" ht="15" customHeight="1" x14ac:dyDescent="0.2">
      <c r="N76" s="7" t="s">
        <v>18</v>
      </c>
      <c r="O76" s="10">
        <v>0.42199999999999999</v>
      </c>
      <c r="P76" s="10">
        <v>0.28199999999999997</v>
      </c>
      <c r="Q76" s="10">
        <v>0.17299999999999999</v>
      </c>
      <c r="R76" s="10">
        <v>2.5000000000000001E-2</v>
      </c>
      <c r="S76" s="9">
        <v>14578</v>
      </c>
    </row>
    <row r="77" spans="14:19" ht="15" customHeight="1" x14ac:dyDescent="0.2">
      <c r="N77" s="7" t="s">
        <v>20</v>
      </c>
      <c r="O77" s="10">
        <v>0.27950000000000003</v>
      </c>
      <c r="P77" s="10">
        <v>0.35099999999999998</v>
      </c>
      <c r="Q77" s="10">
        <v>0.19600000000000001</v>
      </c>
      <c r="R77" s="10">
        <v>1.9E-2</v>
      </c>
      <c r="S77" s="9">
        <v>17793</v>
      </c>
    </row>
    <row r="78" spans="14:19" ht="15" customHeight="1" x14ac:dyDescent="0.2">
      <c r="N78" s="7" t="s">
        <v>21</v>
      </c>
      <c r="O78" s="10">
        <v>0.62949999999999995</v>
      </c>
      <c r="P78" s="10">
        <v>7.4999999999999997E-2</v>
      </c>
      <c r="Q78" s="10">
        <v>0.13600000000000001</v>
      </c>
      <c r="R78" s="10">
        <v>1E-3</v>
      </c>
      <c r="S78" s="9">
        <v>20330</v>
      </c>
    </row>
    <row r="79" spans="14:19" ht="15" customHeight="1" x14ac:dyDescent="0.2">
      <c r="N79" s="7" t="s">
        <v>22</v>
      </c>
      <c r="O79" s="10">
        <v>0.57750000000000001</v>
      </c>
      <c r="P79" s="10">
        <v>0.09</v>
      </c>
      <c r="Q79" s="10">
        <v>0.129</v>
      </c>
      <c r="R79" s="10">
        <v>5.0000000000000001E-3</v>
      </c>
      <c r="S79" s="9">
        <v>17963</v>
      </c>
    </row>
    <row r="80" spans="14:19" ht="15" customHeight="1" x14ac:dyDescent="0.2">
      <c r="N80" s="7" t="s">
        <v>23</v>
      </c>
      <c r="O80" s="10">
        <v>0.3805</v>
      </c>
      <c r="P80" s="10">
        <v>0.28599999999999998</v>
      </c>
      <c r="Q80" s="10">
        <v>0.18</v>
      </c>
      <c r="R80" s="10">
        <v>1.7000000000000001E-2</v>
      </c>
      <c r="S80" s="9">
        <v>14718</v>
      </c>
    </row>
    <row r="81" spans="14:19" ht="15" customHeight="1" x14ac:dyDescent="0.2">
      <c r="N81" s="7" t="s">
        <v>26</v>
      </c>
      <c r="O81" s="10">
        <v>0.53149999999999997</v>
      </c>
      <c r="P81" s="10">
        <v>0.11</v>
      </c>
      <c r="Q81" s="10">
        <v>0.20200000000000001</v>
      </c>
      <c r="R81" s="10">
        <v>1.2E-2</v>
      </c>
      <c r="S81" s="9">
        <v>15358</v>
      </c>
    </row>
    <row r="82" spans="14:19" ht="15" customHeight="1" x14ac:dyDescent="0.2">
      <c r="N82" s="7" t="s">
        <v>27</v>
      </c>
      <c r="O82" s="10">
        <v>0.7</v>
      </c>
      <c r="P82" s="10">
        <v>8.3000000000000004E-2</v>
      </c>
      <c r="Q82" s="10">
        <v>0.155</v>
      </c>
      <c r="R82" s="10">
        <v>4.0000000000000001E-3</v>
      </c>
      <c r="S82" s="9">
        <v>18625</v>
      </c>
    </row>
    <row r="83" spans="14:19" ht="15" customHeight="1" x14ac:dyDescent="0.2">
      <c r="N83" s="7" t="s">
        <v>28</v>
      </c>
      <c r="O83" s="10">
        <v>0.35699999999999998</v>
      </c>
      <c r="P83" s="10">
        <v>0.45200000000000001</v>
      </c>
      <c r="Q83" s="10">
        <v>0.20399999999999999</v>
      </c>
      <c r="R83" s="10">
        <v>6.4000000000000001E-2</v>
      </c>
      <c r="S83" s="9">
        <v>16021</v>
      </c>
    </row>
    <row r="84" spans="14:19" ht="15" customHeight="1" x14ac:dyDescent="0.2">
      <c r="N84" s="7" t="s">
        <v>29</v>
      </c>
      <c r="O84" s="10">
        <v>0.40799999999999997</v>
      </c>
      <c r="P84" s="10">
        <v>0.36299999999999999</v>
      </c>
      <c r="Q84" s="10">
        <v>0.218</v>
      </c>
      <c r="R84" s="10">
        <v>0.01</v>
      </c>
      <c r="S84" s="9">
        <v>26366</v>
      </c>
    </row>
    <row r="85" spans="14:19" ht="15" customHeight="1" x14ac:dyDescent="0.2">
      <c r="N85" s="7" t="s">
        <v>31</v>
      </c>
      <c r="O85" s="10">
        <v>0.54600000000000004</v>
      </c>
      <c r="P85" s="10">
        <v>0.193</v>
      </c>
      <c r="Q85" s="10">
        <v>0.19400000000000001</v>
      </c>
      <c r="R85" s="10">
        <v>1.7999999999999999E-2</v>
      </c>
      <c r="S85" s="9">
        <v>15543</v>
      </c>
    </row>
    <row r="86" spans="14:19" ht="15" customHeight="1" x14ac:dyDescent="0.2">
      <c r="N86" s="7" t="s">
        <v>32</v>
      </c>
      <c r="O86" s="10">
        <v>0.36899999999999999</v>
      </c>
      <c r="P86" s="10">
        <v>0.41499999999999998</v>
      </c>
      <c r="Q86" s="10">
        <v>0.186</v>
      </c>
      <c r="R86" s="10">
        <v>1.4999999999999999E-2</v>
      </c>
      <c r="S86" s="9">
        <v>16035</v>
      </c>
    </row>
    <row r="87" spans="14:19" ht="15" customHeight="1" x14ac:dyDescent="0.2">
      <c r="N87" s="7" t="s">
        <v>33</v>
      </c>
      <c r="O87" s="10">
        <v>0.629</v>
      </c>
      <c r="P87" s="10">
        <v>6.2E-2</v>
      </c>
      <c r="Q87" s="10">
        <v>0.161</v>
      </c>
      <c r="R87" s="10">
        <v>4.0000000000000001E-3</v>
      </c>
      <c r="S87" s="9">
        <v>17537</v>
      </c>
    </row>
    <row r="88" spans="14:19" ht="15" customHeight="1" x14ac:dyDescent="0.2">
      <c r="N88" s="7" t="s">
        <v>34</v>
      </c>
      <c r="O88" s="10">
        <v>0.51100000000000001</v>
      </c>
      <c r="P88" s="10">
        <v>0.187</v>
      </c>
      <c r="Q88" s="10">
        <v>0.16800000000000001</v>
      </c>
      <c r="R88" s="10">
        <v>1.7999999999999999E-2</v>
      </c>
      <c r="S88" s="9">
        <v>16596</v>
      </c>
    </row>
    <row r="89" spans="14:19" ht="15" customHeight="1" x14ac:dyDescent="0.2">
      <c r="N89" s="7" t="s">
        <v>35</v>
      </c>
      <c r="O89" s="10">
        <v>0.40600000000000003</v>
      </c>
      <c r="P89" s="10">
        <v>0.34300000000000003</v>
      </c>
      <c r="Q89" s="10">
        <v>0.21099999999999999</v>
      </c>
      <c r="R89" s="10">
        <v>3.5999999999999997E-2</v>
      </c>
      <c r="S89" s="9">
        <v>20027</v>
      </c>
    </row>
    <row r="90" spans="14:19" ht="15" customHeight="1" x14ac:dyDescent="0.2">
      <c r="N90" s="7" t="s">
        <v>36</v>
      </c>
      <c r="O90" s="10">
        <v>0.4385</v>
      </c>
      <c r="P90" s="10">
        <v>0.502</v>
      </c>
      <c r="Q90" s="10">
        <v>0.19700000000000001</v>
      </c>
      <c r="R90" s="10">
        <v>0.153</v>
      </c>
      <c r="S90" s="9">
        <v>17769</v>
      </c>
    </row>
    <row r="91" spans="14:19" ht="15" customHeight="1" x14ac:dyDescent="0.2">
      <c r="N91" s="7" t="s">
        <v>37</v>
      </c>
      <c r="O91" s="10">
        <v>0.39550000000000002</v>
      </c>
      <c r="P91" s="10">
        <v>0.48</v>
      </c>
      <c r="Q91" s="10">
        <v>0.18</v>
      </c>
      <c r="R91" s="10">
        <v>8.8999999999999996E-2</v>
      </c>
      <c r="S91" s="9">
        <v>19767</v>
      </c>
    </row>
    <row r="92" spans="14:19" ht="15" customHeight="1" x14ac:dyDescent="0.2">
      <c r="N92" s="7" t="s">
        <v>38</v>
      </c>
      <c r="O92" s="10">
        <v>0.59650000000000003</v>
      </c>
      <c r="P92" s="10">
        <v>0.128</v>
      </c>
      <c r="Q92" s="10">
        <v>0.16700000000000001</v>
      </c>
      <c r="R92" s="10">
        <v>4.0000000000000001E-3</v>
      </c>
      <c r="S92" s="9">
        <v>18105</v>
      </c>
    </row>
    <row r="93" spans="14:19" ht="15" customHeight="1" x14ac:dyDescent="0.2">
      <c r="N93" s="7" t="s">
        <v>41</v>
      </c>
      <c r="O93" s="10">
        <v>0.35499999999999998</v>
      </c>
      <c r="P93" s="10">
        <v>0.42599999999999999</v>
      </c>
      <c r="Q93" s="10">
        <v>0.22</v>
      </c>
      <c r="R93" s="10">
        <v>5.7000000000000002E-2</v>
      </c>
      <c r="S93" s="9">
        <v>17936</v>
      </c>
    </row>
    <row r="94" spans="14:19" ht="15" customHeight="1" x14ac:dyDescent="0.2">
      <c r="N94" s="7" t="s">
        <v>42</v>
      </c>
      <c r="O94" s="10">
        <v>0.39850000000000002</v>
      </c>
      <c r="P94" s="10">
        <v>0.29799999999999999</v>
      </c>
      <c r="Q94" s="10">
        <v>0.16600000000000001</v>
      </c>
      <c r="R94" s="10">
        <v>2.3E-2</v>
      </c>
      <c r="S94" s="9">
        <v>16339</v>
      </c>
    </row>
    <row r="96" spans="14:19" ht="15" customHeight="1" x14ac:dyDescent="0.2">
      <c r="N96" s="25" t="s">
        <v>114</v>
      </c>
    </row>
    <row r="97" spans="14:19" ht="15" customHeight="1" x14ac:dyDescent="0.2">
      <c r="N97" s="26" t="s">
        <v>83</v>
      </c>
      <c r="O97" s="30">
        <f>INDEX(LINEST(O74:O94,P74:S94,TRUE(),FALSE()),1,5)</f>
        <v>0.5919374600698537</v>
      </c>
    </row>
    <row r="98" spans="14:19" ht="15" customHeight="1" x14ac:dyDescent="0.2">
      <c r="N98" s="26" t="s">
        <v>117</v>
      </c>
      <c r="O98" s="30">
        <f>INDEX(LINEST(O74:O94,P74:S94,TRUE(),FALSE()),1,4)</f>
        <v>-0.9607385597095236</v>
      </c>
    </row>
    <row r="99" spans="14:19" ht="15" customHeight="1" x14ac:dyDescent="0.2">
      <c r="N99" s="26" t="s">
        <v>119</v>
      </c>
      <c r="O99" s="30">
        <f>INDEX(LINEST(O74:O94,P74:S94,TRUE(),FALSE()),1,3)</f>
        <v>-0.25880218012799572</v>
      </c>
    </row>
    <row r="100" spans="14:19" ht="15" customHeight="1" x14ac:dyDescent="0.2">
      <c r="N100" s="26" t="s">
        <v>120</v>
      </c>
      <c r="O100" s="30">
        <f>INDEX(LINEST(O74:O94,P74:S94,TRUE(),FALSE()),1,2)</f>
        <v>1.7097811140486887</v>
      </c>
    </row>
    <row r="101" spans="14:19" ht="15" customHeight="1" x14ac:dyDescent="0.2">
      <c r="N101" s="26" t="s">
        <v>122</v>
      </c>
      <c r="O101" s="30">
        <f>INDEX(LINEST(O74:O94,P74:S94,TRUE(),FALSE()),1,1)</f>
        <v>7.57253763444059E-6</v>
      </c>
    </row>
    <row r="102" spans="14:19" ht="15" customHeight="1" x14ac:dyDescent="0.2">
      <c r="N102" s="26" t="s">
        <v>124</v>
      </c>
      <c r="O102" s="31">
        <f>INDEX(LINEST(O74:O94,P74:S94,TRUE(),TRUE()),3,1)</f>
        <v>0.87771234223612371</v>
      </c>
    </row>
    <row r="105" spans="14:19" ht="15" customHeight="1" x14ac:dyDescent="0.2">
      <c r="N105" s="25" t="s">
        <v>106</v>
      </c>
    </row>
    <row r="106" spans="14:19" ht="15" customHeight="1" x14ac:dyDescent="0.2">
      <c r="N106" s="40" t="s">
        <v>2</v>
      </c>
      <c r="O106" s="40" t="s">
        <v>9</v>
      </c>
      <c r="P106" s="40" t="s">
        <v>10</v>
      </c>
      <c r="Q106" s="40" t="s">
        <v>12</v>
      </c>
      <c r="R106" s="40" t="s">
        <v>11</v>
      </c>
      <c r="S106" s="40" t="s">
        <v>5</v>
      </c>
    </row>
    <row r="107" spans="14:19" ht="15" customHeight="1" x14ac:dyDescent="0.2">
      <c r="N107" s="7" t="s">
        <v>15</v>
      </c>
      <c r="O107" s="10">
        <v>0.45450000000000002</v>
      </c>
      <c r="P107" s="10">
        <v>0.34399999999999997</v>
      </c>
      <c r="Q107" s="10">
        <v>0.17799999999999999</v>
      </c>
      <c r="R107" s="10">
        <v>0.11</v>
      </c>
      <c r="S107" s="9">
        <v>16610</v>
      </c>
    </row>
    <row r="108" spans="14:19" ht="15" customHeight="1" x14ac:dyDescent="0.2">
      <c r="N108" s="7" t="s">
        <v>17</v>
      </c>
      <c r="O108" s="10">
        <v>0.53849999999999998</v>
      </c>
      <c r="P108" s="10">
        <v>0.27</v>
      </c>
      <c r="Q108" s="10">
        <v>0.216</v>
      </c>
      <c r="R108" s="10">
        <v>7.5999999999999998E-2</v>
      </c>
      <c r="S108" s="9">
        <v>17739</v>
      </c>
    </row>
    <row r="109" spans="14:19" ht="15" customHeight="1" x14ac:dyDescent="0.2">
      <c r="N109" s="7" t="s">
        <v>18</v>
      </c>
      <c r="O109" s="10">
        <v>0.41699999999999998</v>
      </c>
      <c r="P109" s="10">
        <v>0.26400000000000001</v>
      </c>
      <c r="Q109" s="10">
        <v>0.191</v>
      </c>
      <c r="R109" s="10">
        <v>2.8000000000000001E-2</v>
      </c>
      <c r="S109" s="9">
        <v>15642</v>
      </c>
    </row>
    <row r="110" spans="14:19" ht="15" customHeight="1" x14ac:dyDescent="0.2">
      <c r="N110" s="7" t="s">
        <v>20</v>
      </c>
      <c r="O110" s="10">
        <v>0.30049999999999999</v>
      </c>
      <c r="P110" s="10">
        <v>0.31</v>
      </c>
      <c r="Q110" s="10">
        <v>0.189</v>
      </c>
      <c r="R110" s="10">
        <v>2.1999999999999999E-2</v>
      </c>
      <c r="S110" s="9">
        <v>18506</v>
      </c>
    </row>
    <row r="111" spans="14:19" ht="15" customHeight="1" x14ac:dyDescent="0.2">
      <c r="N111" s="7" t="s">
        <v>21</v>
      </c>
      <c r="O111" s="10">
        <v>0.70299999999999996</v>
      </c>
      <c r="P111" s="10">
        <v>6.8000000000000005E-2</v>
      </c>
      <c r="Q111" s="10">
        <v>0.159</v>
      </c>
      <c r="R111" s="10">
        <v>0</v>
      </c>
      <c r="S111" s="9">
        <v>21828</v>
      </c>
    </row>
    <row r="112" spans="14:19" ht="15" customHeight="1" x14ac:dyDescent="0.2">
      <c r="N112" s="7" t="s">
        <v>22</v>
      </c>
      <c r="O112" s="10">
        <v>0.63949999999999996</v>
      </c>
      <c r="P112" s="10">
        <v>7.8E-2</v>
      </c>
      <c r="Q112" s="10">
        <v>0.112</v>
      </c>
      <c r="R112" s="10">
        <v>6.0000000000000001E-3</v>
      </c>
      <c r="S112" s="9">
        <v>19290</v>
      </c>
    </row>
    <row r="113" spans="14:19" ht="15" customHeight="1" x14ac:dyDescent="0.2">
      <c r="N113" s="7" t="s">
        <v>23</v>
      </c>
      <c r="O113" s="10">
        <v>0.43049999999999999</v>
      </c>
      <c r="P113" s="10">
        <v>0.27800000000000002</v>
      </c>
      <c r="Q113" s="10">
        <v>0.183</v>
      </c>
      <c r="R113" s="10">
        <v>2.5999999999999999E-2</v>
      </c>
      <c r="S113" s="9">
        <v>16276</v>
      </c>
    </row>
    <row r="114" spans="14:19" ht="15" customHeight="1" x14ac:dyDescent="0.2">
      <c r="N114" s="7" t="s">
        <v>26</v>
      </c>
      <c r="O114" s="10">
        <v>0.58150000000000002</v>
      </c>
      <c r="P114" s="10">
        <v>0.109</v>
      </c>
      <c r="Q114" s="10">
        <v>0.215</v>
      </c>
      <c r="R114" s="10">
        <v>1.2999999999999999E-2</v>
      </c>
      <c r="S114" s="9">
        <v>17167</v>
      </c>
    </row>
    <row r="115" spans="14:19" ht="15" customHeight="1" x14ac:dyDescent="0.2">
      <c r="N115" s="7" t="s">
        <v>27</v>
      </c>
      <c r="O115" s="10">
        <v>0.72750000000000004</v>
      </c>
      <c r="P115" s="10">
        <v>7.1999999999999995E-2</v>
      </c>
      <c r="Q115" s="10">
        <v>0.16500000000000001</v>
      </c>
      <c r="R115" s="10">
        <v>6.0000000000000001E-3</v>
      </c>
      <c r="S115" s="9">
        <v>20124</v>
      </c>
    </row>
    <row r="116" spans="14:19" ht="15" customHeight="1" x14ac:dyDescent="0.2">
      <c r="N116" s="7" t="s">
        <v>28</v>
      </c>
      <c r="O116" s="10">
        <v>0.3745</v>
      </c>
      <c r="P116" s="10">
        <v>0.44</v>
      </c>
      <c r="Q116" s="10">
        <v>0.20899999999999999</v>
      </c>
      <c r="R116" s="10">
        <v>7.0999999999999994E-2</v>
      </c>
      <c r="S116" s="9">
        <v>16711</v>
      </c>
    </row>
    <row r="117" spans="14:19" ht="15" customHeight="1" x14ac:dyDescent="0.2">
      <c r="N117" s="7" t="s">
        <v>29</v>
      </c>
      <c r="O117" s="10">
        <v>0.45700000000000002</v>
      </c>
      <c r="P117" s="10">
        <v>0.33200000000000002</v>
      </c>
      <c r="Q117" s="10">
        <v>0.222</v>
      </c>
      <c r="R117" s="10">
        <v>1.2E-2</v>
      </c>
      <c r="S117" s="9">
        <v>28867</v>
      </c>
    </row>
    <row r="118" spans="14:19" ht="15" customHeight="1" x14ac:dyDescent="0.2">
      <c r="N118" s="7" t="s">
        <v>31</v>
      </c>
      <c r="O118" s="10">
        <v>0.57899999999999996</v>
      </c>
      <c r="P118" s="10">
        <v>0.184</v>
      </c>
      <c r="Q118" s="10">
        <v>0.19900000000000001</v>
      </c>
      <c r="R118" s="10">
        <v>2.3E-2</v>
      </c>
      <c r="S118" s="9">
        <v>17743</v>
      </c>
    </row>
    <row r="119" spans="14:19" ht="15" customHeight="1" x14ac:dyDescent="0.2">
      <c r="N119" s="7" t="s">
        <v>32</v>
      </c>
      <c r="O119" s="10">
        <v>0.36599999999999999</v>
      </c>
      <c r="P119" s="10">
        <v>0.39800000000000002</v>
      </c>
      <c r="Q119" s="10">
        <v>0.189</v>
      </c>
      <c r="R119" s="10">
        <v>2.3E-2</v>
      </c>
      <c r="S119" s="9">
        <v>18721</v>
      </c>
    </row>
    <row r="120" spans="14:19" ht="15" customHeight="1" x14ac:dyDescent="0.2">
      <c r="N120" s="7" t="s">
        <v>33</v>
      </c>
      <c r="O120" s="10">
        <v>0.66400000000000003</v>
      </c>
      <c r="P120" s="10">
        <v>0.06</v>
      </c>
      <c r="Q120" s="10">
        <v>0.156</v>
      </c>
      <c r="R120" s="10">
        <v>4.0000000000000001E-3</v>
      </c>
      <c r="S120" s="9">
        <v>18616</v>
      </c>
    </row>
    <row r="121" spans="14:19" ht="15" customHeight="1" x14ac:dyDescent="0.2">
      <c r="N121" s="7" t="s">
        <v>34</v>
      </c>
      <c r="O121" s="10">
        <v>0.53400000000000003</v>
      </c>
      <c r="P121" s="10">
        <v>0.187</v>
      </c>
      <c r="Q121" s="10">
        <v>0.17799999999999999</v>
      </c>
      <c r="R121" s="10">
        <v>1.9E-2</v>
      </c>
      <c r="S121" s="9">
        <v>17795</v>
      </c>
    </row>
    <row r="122" spans="14:19" ht="15" customHeight="1" x14ac:dyDescent="0.2">
      <c r="N122" s="7" t="s">
        <v>35</v>
      </c>
      <c r="O122" s="10">
        <v>0.45500000000000002</v>
      </c>
      <c r="P122" s="10">
        <v>0.32500000000000001</v>
      </c>
      <c r="Q122" s="10">
        <v>0.215</v>
      </c>
      <c r="R122" s="10">
        <v>4.9000000000000002E-2</v>
      </c>
      <c r="S122" s="9">
        <v>21495</v>
      </c>
    </row>
    <row r="123" spans="14:19" ht="15" customHeight="1" x14ac:dyDescent="0.2">
      <c r="N123" s="7" t="s">
        <v>36</v>
      </c>
      <c r="O123" s="10">
        <v>0.4405</v>
      </c>
      <c r="P123" s="10">
        <v>0.47799999999999998</v>
      </c>
      <c r="Q123" s="10">
        <v>0.20499999999999999</v>
      </c>
      <c r="R123" s="10">
        <v>0.16400000000000001</v>
      </c>
      <c r="S123" s="9">
        <v>19120</v>
      </c>
    </row>
    <row r="124" spans="14:19" ht="15" customHeight="1" x14ac:dyDescent="0.2">
      <c r="N124" s="7" t="s">
        <v>37</v>
      </c>
      <c r="O124" s="10">
        <v>0.40350000000000003</v>
      </c>
      <c r="P124" s="10">
        <v>0.47899999999999998</v>
      </c>
      <c r="Q124" s="10">
        <v>0.17599999999999999</v>
      </c>
      <c r="R124" s="10">
        <v>0.111</v>
      </c>
      <c r="S124" s="9">
        <v>20125</v>
      </c>
    </row>
    <row r="125" spans="14:19" ht="15" customHeight="1" x14ac:dyDescent="0.2">
      <c r="N125" s="7" t="s">
        <v>38</v>
      </c>
      <c r="O125" s="10">
        <v>0.62350000000000005</v>
      </c>
      <c r="P125" s="10">
        <v>0.121</v>
      </c>
      <c r="Q125" s="10">
        <v>0.17399999999999999</v>
      </c>
      <c r="R125" s="10">
        <v>5.0000000000000001E-3</v>
      </c>
      <c r="S125" s="9">
        <v>19419</v>
      </c>
    </row>
    <row r="126" spans="14:19" ht="15" customHeight="1" x14ac:dyDescent="0.2">
      <c r="N126" s="7" t="s">
        <v>41</v>
      </c>
      <c r="O126" s="10">
        <v>0.38850000000000001</v>
      </c>
      <c r="P126" s="10">
        <v>0.41699999999999998</v>
      </c>
      <c r="Q126" s="10">
        <v>0.23</v>
      </c>
      <c r="R126" s="10">
        <v>8.2000000000000003E-2</v>
      </c>
      <c r="S126" s="9">
        <v>18245</v>
      </c>
    </row>
    <row r="127" spans="14:19" ht="15" customHeight="1" x14ac:dyDescent="0.2">
      <c r="N127" s="7" t="s">
        <v>42</v>
      </c>
      <c r="O127" s="10">
        <v>0.43</v>
      </c>
      <c r="P127" s="10">
        <v>0.29899999999999999</v>
      </c>
      <c r="Q127" s="10">
        <v>0.17499999999999999</v>
      </c>
      <c r="R127" s="10">
        <v>4.7E-2</v>
      </c>
      <c r="S127" s="9">
        <v>17232</v>
      </c>
    </row>
    <row r="129" spans="14:19" ht="15" customHeight="1" x14ac:dyDescent="0.2">
      <c r="N129" s="25" t="s">
        <v>114</v>
      </c>
    </row>
    <row r="130" spans="14:19" ht="15" customHeight="1" x14ac:dyDescent="0.2">
      <c r="N130" s="26" t="s">
        <v>83</v>
      </c>
      <c r="O130" s="30">
        <f>INDEX(LINEST(O107:O127,P107:S127,TRUE(),FALSE()),1,5)</f>
        <v>0.53652268202304809</v>
      </c>
    </row>
    <row r="131" spans="14:19" ht="15" customHeight="1" x14ac:dyDescent="0.2">
      <c r="N131" s="26" t="s">
        <v>117</v>
      </c>
      <c r="O131" s="30">
        <f>INDEX(LINEST(O107:O127,P107:S127,TRUE(),FALSE()),1,4)</f>
        <v>-1.1290926840812539</v>
      </c>
    </row>
    <row r="132" spans="14:19" ht="15" customHeight="1" x14ac:dyDescent="0.2">
      <c r="N132" s="26" t="s">
        <v>119</v>
      </c>
      <c r="O132" s="30">
        <f>INDEX(LINEST(O107:O127,P107:S127,TRUE(),FALSE()),1,3)</f>
        <v>-5.2871947467156746E-2</v>
      </c>
    </row>
    <row r="133" spans="14:19" ht="15" customHeight="1" x14ac:dyDescent="0.2">
      <c r="N133" s="26" t="s">
        <v>120</v>
      </c>
      <c r="O133" s="30">
        <f>INDEX(LINEST(O107:O127,P107:S127,TRUE(),FALSE()),1,2)</f>
        <v>1.5785538756074842</v>
      </c>
    </row>
    <row r="134" spans="14:19" ht="15" customHeight="1" x14ac:dyDescent="0.2">
      <c r="N134" s="26" t="s">
        <v>122</v>
      </c>
      <c r="O134" s="30">
        <f>INDEX(LINEST(O107:O127,P107:S127,TRUE(),FALSE()),1,1)</f>
        <v>1.0717753885047626E-5</v>
      </c>
    </row>
    <row r="135" spans="14:19" ht="15" customHeight="1" x14ac:dyDescent="0.2">
      <c r="N135" s="26" t="s">
        <v>124</v>
      </c>
      <c r="O135" s="31">
        <f>INDEX(LINEST(O107:O127,P107:S127,TRUE(),TRUE()),3,1)</f>
        <v>0.90679955491657194</v>
      </c>
    </row>
    <row r="138" spans="14:19" ht="15" customHeight="1" x14ac:dyDescent="0.2">
      <c r="N138" s="25" t="s">
        <v>107</v>
      </c>
    </row>
    <row r="139" spans="14:19" ht="15" customHeight="1" x14ac:dyDescent="0.2">
      <c r="N139" s="40" t="s">
        <v>2</v>
      </c>
      <c r="O139" s="40" t="s">
        <v>9</v>
      </c>
      <c r="P139" s="40" t="s">
        <v>10</v>
      </c>
      <c r="Q139" s="40" t="s">
        <v>12</v>
      </c>
      <c r="R139" s="40" t="s">
        <v>11</v>
      </c>
      <c r="S139" s="40" t="s">
        <v>5</v>
      </c>
    </row>
    <row r="140" spans="14:19" ht="15" customHeight="1" x14ac:dyDescent="0.2">
      <c r="N140" s="7" t="s">
        <v>15</v>
      </c>
      <c r="O140" s="10">
        <v>0.41649999999999998</v>
      </c>
      <c r="P140" s="10">
        <v>0.32500000000000001</v>
      </c>
      <c r="Q140" s="10">
        <v>0.188</v>
      </c>
      <c r="R140" s="10">
        <v>0.11700000000000001</v>
      </c>
      <c r="S140" s="9">
        <v>17097</v>
      </c>
    </row>
    <row r="141" spans="14:19" ht="15" customHeight="1" x14ac:dyDescent="0.2">
      <c r="N141" s="7" t="s">
        <v>17</v>
      </c>
      <c r="O141" s="10">
        <v>0.52100000000000002</v>
      </c>
      <c r="P141" s="10">
        <v>0.27600000000000002</v>
      </c>
      <c r="Q141" s="10">
        <v>0.224</v>
      </c>
      <c r="R141" s="10">
        <v>7.4999999999999997E-2</v>
      </c>
      <c r="S141" s="9">
        <v>19549</v>
      </c>
    </row>
    <row r="142" spans="14:19" ht="15" customHeight="1" x14ac:dyDescent="0.2">
      <c r="N142" s="7" t="s">
        <v>18</v>
      </c>
      <c r="O142" s="10">
        <v>0.40100000000000002</v>
      </c>
      <c r="P142" s="10">
        <v>0.26400000000000001</v>
      </c>
      <c r="Q142" s="10">
        <v>0.19900000000000001</v>
      </c>
      <c r="R142" s="10">
        <v>3.4000000000000002E-2</v>
      </c>
      <c r="S142" s="9">
        <v>16125</v>
      </c>
    </row>
    <row r="143" spans="14:19" ht="15" customHeight="1" x14ac:dyDescent="0.2">
      <c r="N143" s="7" t="s">
        <v>20</v>
      </c>
      <c r="O143" s="10">
        <v>0.309</v>
      </c>
      <c r="P143" s="10">
        <v>0.29499999999999998</v>
      </c>
      <c r="Q143" s="10">
        <v>0.19700000000000001</v>
      </c>
      <c r="R143" s="10">
        <v>1.9E-2</v>
      </c>
      <c r="S143" s="9">
        <v>19247</v>
      </c>
    </row>
    <row r="144" spans="14:19" ht="15" customHeight="1" x14ac:dyDescent="0.2">
      <c r="N144" s="7" t="s">
        <v>21</v>
      </c>
      <c r="O144" s="10">
        <v>0.67800000000000005</v>
      </c>
      <c r="P144" s="10">
        <v>6.3E-2</v>
      </c>
      <c r="Q144" s="10">
        <v>0.17</v>
      </c>
      <c r="R144" s="10">
        <v>3.0000000000000001E-3</v>
      </c>
      <c r="S144" s="9">
        <v>22516</v>
      </c>
    </row>
    <row r="145" spans="14:19" ht="15" customHeight="1" x14ac:dyDescent="0.2">
      <c r="N145" s="7" t="s">
        <v>22</v>
      </c>
      <c r="O145" s="10">
        <v>0.61</v>
      </c>
      <c r="P145" s="10">
        <v>8.6999999999999994E-2</v>
      </c>
      <c r="Q145" s="10">
        <v>0.16800000000000001</v>
      </c>
      <c r="R145" s="10">
        <v>6.0000000000000001E-3</v>
      </c>
      <c r="S145" s="9">
        <v>20115</v>
      </c>
    </row>
    <row r="146" spans="14:19" ht="15" customHeight="1" x14ac:dyDescent="0.2">
      <c r="N146" s="7" t="s">
        <v>23</v>
      </c>
      <c r="O146" s="10">
        <v>0.39250000000000002</v>
      </c>
      <c r="P146" s="10">
        <v>0.27900000000000003</v>
      </c>
      <c r="Q146" s="10">
        <v>0.193</v>
      </c>
      <c r="R146" s="10">
        <v>3.1E-2</v>
      </c>
      <c r="S146" s="9">
        <v>17593</v>
      </c>
    </row>
    <row r="147" spans="14:19" ht="15" customHeight="1" x14ac:dyDescent="0.2">
      <c r="N147" s="7" t="s">
        <v>26</v>
      </c>
      <c r="O147" s="10">
        <v>0.57350000000000001</v>
      </c>
      <c r="P147" s="10">
        <v>0.111</v>
      </c>
      <c r="Q147" s="10">
        <v>0.224</v>
      </c>
      <c r="R147" s="10">
        <v>1.7000000000000001E-2</v>
      </c>
      <c r="S147" s="9">
        <v>16823</v>
      </c>
    </row>
    <row r="148" spans="14:19" ht="15" customHeight="1" x14ac:dyDescent="0.2">
      <c r="N148" s="7" t="s">
        <v>27</v>
      </c>
      <c r="O148" s="10">
        <v>0.73450000000000004</v>
      </c>
      <c r="P148" s="10">
        <v>7.8E-2</v>
      </c>
      <c r="Q148" s="10">
        <v>0.183</v>
      </c>
      <c r="R148" s="10">
        <v>7.0000000000000001E-3</v>
      </c>
      <c r="S148" s="9">
        <v>20479</v>
      </c>
    </row>
    <row r="149" spans="14:19" ht="15" customHeight="1" x14ac:dyDescent="0.2">
      <c r="N149" s="7" t="s">
        <v>28</v>
      </c>
      <c r="O149" s="10">
        <v>0.36099999999999999</v>
      </c>
      <c r="P149" s="10">
        <v>0.438</v>
      </c>
      <c r="Q149" s="10">
        <v>0.22</v>
      </c>
      <c r="R149" s="10">
        <v>8.7999999999999995E-2</v>
      </c>
      <c r="S149" s="9">
        <v>17567</v>
      </c>
    </row>
    <row r="150" spans="14:19" ht="15" customHeight="1" x14ac:dyDescent="0.2">
      <c r="N150" s="7" t="s">
        <v>29</v>
      </c>
      <c r="O150" s="10">
        <v>0.4995</v>
      </c>
      <c r="P150" s="10">
        <v>0.33400000000000002</v>
      </c>
      <c r="Q150" s="10">
        <v>0.218</v>
      </c>
      <c r="R150" s="10">
        <v>1.6E-2</v>
      </c>
      <c r="S150" s="9">
        <v>31139</v>
      </c>
    </row>
    <row r="151" spans="14:19" ht="15" customHeight="1" x14ac:dyDescent="0.2">
      <c r="N151" s="7" t="s">
        <v>31</v>
      </c>
      <c r="O151" s="10">
        <v>0.55300000000000005</v>
      </c>
      <c r="P151" s="10">
        <v>0.188</v>
      </c>
      <c r="Q151" s="10">
        <v>0.20200000000000001</v>
      </c>
      <c r="R151" s="10">
        <v>2.8000000000000001E-2</v>
      </c>
      <c r="S151" s="9">
        <v>19487</v>
      </c>
    </row>
    <row r="152" spans="14:19" ht="15" customHeight="1" x14ac:dyDescent="0.2">
      <c r="N152" s="7" t="s">
        <v>32</v>
      </c>
      <c r="O152" s="10">
        <v>0.36649999999999999</v>
      </c>
      <c r="P152" s="10">
        <v>0.40699999999999997</v>
      </c>
      <c r="Q152" s="10">
        <v>0.19400000000000001</v>
      </c>
      <c r="R152" s="10">
        <v>3.4000000000000002E-2</v>
      </c>
      <c r="S152" s="9">
        <v>19536</v>
      </c>
    </row>
    <row r="153" spans="14:19" ht="15" customHeight="1" x14ac:dyDescent="0.2">
      <c r="N153" s="7" t="s">
        <v>33</v>
      </c>
      <c r="O153" s="10">
        <v>0.66949999999999998</v>
      </c>
      <c r="P153" s="10">
        <v>5.8000000000000003E-2</v>
      </c>
      <c r="Q153" s="10">
        <v>0.16200000000000001</v>
      </c>
      <c r="R153" s="10">
        <v>4.0000000000000001E-3</v>
      </c>
      <c r="S153" s="9">
        <v>19525</v>
      </c>
    </row>
    <row r="154" spans="14:19" ht="15" customHeight="1" x14ac:dyDescent="0.2">
      <c r="N154" s="7" t="s">
        <v>34</v>
      </c>
      <c r="O154" s="10">
        <v>0.50849999999999995</v>
      </c>
      <c r="P154" s="10">
        <v>0.18</v>
      </c>
      <c r="Q154" s="10">
        <v>0.188</v>
      </c>
      <c r="R154" s="10">
        <v>0.02</v>
      </c>
      <c r="S154" s="9">
        <v>18911</v>
      </c>
    </row>
    <row r="155" spans="14:19" ht="15" customHeight="1" x14ac:dyDescent="0.2">
      <c r="N155" s="7" t="s">
        <v>35</v>
      </c>
      <c r="O155" s="10">
        <v>0.41699999999999998</v>
      </c>
      <c r="P155" s="10">
        <v>0.315</v>
      </c>
      <c r="Q155" s="10">
        <v>0.219</v>
      </c>
      <c r="R155" s="10">
        <v>5.6000000000000001E-2</v>
      </c>
      <c r="S155" s="9">
        <v>22128</v>
      </c>
    </row>
    <row r="156" spans="14:19" ht="15" customHeight="1" x14ac:dyDescent="0.2">
      <c r="N156" s="7" t="s">
        <v>36</v>
      </c>
      <c r="O156" s="10">
        <v>0.42749999999999999</v>
      </c>
      <c r="P156" s="10">
        <v>0.47199999999999998</v>
      </c>
      <c r="Q156" s="10">
        <v>0.20899999999999999</v>
      </c>
      <c r="R156" s="10">
        <v>0.17</v>
      </c>
      <c r="S156" s="9">
        <v>20257</v>
      </c>
    </row>
    <row r="157" spans="14:19" ht="15" customHeight="1" x14ac:dyDescent="0.2">
      <c r="N157" s="7" t="s">
        <v>37</v>
      </c>
      <c r="O157" s="10">
        <v>0.38100000000000001</v>
      </c>
      <c r="P157" s="10">
        <v>0.47199999999999998</v>
      </c>
      <c r="Q157" s="10">
        <v>0.19800000000000001</v>
      </c>
      <c r="R157" s="10">
        <v>0.113</v>
      </c>
      <c r="S157" s="9">
        <v>21153</v>
      </c>
    </row>
    <row r="158" spans="14:19" ht="15" customHeight="1" x14ac:dyDescent="0.2">
      <c r="N158" s="7" t="s">
        <v>38</v>
      </c>
      <c r="O158" s="10">
        <v>0.59750000000000003</v>
      </c>
      <c r="P158" s="10">
        <v>0.11799999999999999</v>
      </c>
      <c r="Q158" s="10">
        <v>0.185</v>
      </c>
      <c r="R158" s="10">
        <v>4.0000000000000001E-3</v>
      </c>
      <c r="S158" s="9">
        <v>20435</v>
      </c>
    </row>
    <row r="159" spans="14:19" ht="15" customHeight="1" x14ac:dyDescent="0.2">
      <c r="N159" s="7" t="s">
        <v>41</v>
      </c>
      <c r="O159" s="10">
        <v>0.39200000000000002</v>
      </c>
      <c r="P159" s="10">
        <v>0.40500000000000003</v>
      </c>
      <c r="Q159" s="10">
        <v>0.22900000000000001</v>
      </c>
      <c r="R159" s="10">
        <v>0.08</v>
      </c>
      <c r="S159" s="9">
        <v>19597</v>
      </c>
    </row>
    <row r="160" spans="14:19" ht="15" customHeight="1" x14ac:dyDescent="0.2">
      <c r="N160" s="7" t="s">
        <v>42</v>
      </c>
      <c r="O160" s="10">
        <v>0.38</v>
      </c>
      <c r="P160" s="10">
        <v>0.30499999999999999</v>
      </c>
      <c r="Q160" s="10">
        <v>0.16500000000000001</v>
      </c>
      <c r="R160" s="10">
        <v>6.3E-2</v>
      </c>
      <c r="S160" s="9">
        <v>18079</v>
      </c>
    </row>
    <row r="162" spans="14:15" ht="15" customHeight="1" x14ac:dyDescent="0.2">
      <c r="N162" s="25" t="s">
        <v>114</v>
      </c>
    </row>
    <row r="163" spans="14:15" ht="15" customHeight="1" x14ac:dyDescent="0.2">
      <c r="N163" s="26" t="s">
        <v>83</v>
      </c>
      <c r="O163" s="30">
        <f>INDEX(LINEST(O140:O160,P140:S160,TRUE(),FALSE()),1,5)</f>
        <v>0.37767483448871481</v>
      </c>
    </row>
    <row r="164" spans="14:15" ht="15" customHeight="1" x14ac:dyDescent="0.2">
      <c r="N164" s="26" t="s">
        <v>117</v>
      </c>
      <c r="O164" s="30">
        <f>INDEX(LINEST(O140:O160,P140:S160,TRUE(),FALSE()),1,4)</f>
        <v>-1.158883049473487</v>
      </c>
    </row>
    <row r="165" spans="14:15" ht="15" customHeight="1" x14ac:dyDescent="0.2">
      <c r="N165" s="26" t="s">
        <v>119</v>
      </c>
      <c r="O165" s="30">
        <f>INDEX(LINEST(O140:O160,P140:S160,TRUE(),FALSE()),1,3)</f>
        <v>0.37912697582810245</v>
      </c>
    </row>
    <row r="166" spans="14:15" ht="15" customHeight="1" x14ac:dyDescent="0.2">
      <c r="N166" s="26" t="s">
        <v>120</v>
      </c>
      <c r="O166" s="30">
        <f>INDEX(LINEST(O140:O160,P140:S160,TRUE(),FALSE()),1,2)</f>
        <v>1.3819334947748116</v>
      </c>
    </row>
    <row r="167" spans="14:15" ht="15" customHeight="1" x14ac:dyDescent="0.2">
      <c r="N167" s="26" t="s">
        <v>122</v>
      </c>
      <c r="O167" s="30">
        <f>INDEX(LINEST(O140:O160,P140:S160,TRUE(),FALSE()),1,1)</f>
        <v>1.3580724986593214E-5</v>
      </c>
    </row>
    <row r="168" spans="14:15" ht="15" customHeight="1" x14ac:dyDescent="0.2">
      <c r="N168" s="26" t="s">
        <v>124</v>
      </c>
      <c r="O168" s="31">
        <f>INDEX(LINEST(O140:O160,P140:S160,TRUE(),TRUE()),3,1)</f>
        <v>0.88187549508117347</v>
      </c>
    </row>
  </sheetData>
  <mergeCells count="16">
    <mergeCell ref="A47:K47"/>
    <mergeCell ref="A42:K42"/>
    <mergeCell ref="A43:K43"/>
    <mergeCell ref="A44:K44"/>
    <mergeCell ref="A45:K45"/>
    <mergeCell ref="A46:K46"/>
    <mergeCell ref="A37:K37"/>
    <mergeCell ref="A38:K38"/>
    <mergeCell ref="A39:K39"/>
    <mergeCell ref="A40:K40"/>
    <mergeCell ref="A41:K41"/>
    <mergeCell ref="A1:K1"/>
    <mergeCell ref="A2:K2"/>
    <mergeCell ref="A3:K3"/>
    <mergeCell ref="A35:K35"/>
    <mergeCell ref="A36:K36"/>
  </mergeCells>
  <conditionalFormatting sqref="B7:B27">
    <cfRule type="colorScale" priority="2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conditionalFormatting sqref="C7:C27">
    <cfRule type="colorScale" priority="3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conditionalFormatting sqref="D7:D27">
    <cfRule type="colorScale" priority="4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conditionalFormatting sqref="E7:E27">
    <cfRule type="colorScale" priority="5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conditionalFormatting sqref="F7:F27">
    <cfRule type="colorScale" priority="6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conditionalFormatting sqref="G7:G27">
    <cfRule type="colorScale" priority="7">
      <colorScale>
        <cfvo type="num" val="-12"/>
        <cfvo type="num" val="0"/>
        <cfvo type="num" val="12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zoomScaleNormal="100" workbookViewId="0">
      <pane xSplit="1" ySplit="6" topLeftCell="B53" activePane="bottomRight" state="frozen"/>
      <selection pane="topRight" activeCell="B1" sqref="B1"/>
      <selection pane="bottomLeft" activeCell="A7" sqref="A7"/>
      <selection pane="bottomRight" sqref="A1:M1"/>
    </sheetView>
  </sheetViews>
  <sheetFormatPr baseColWidth="10" defaultColWidth="8.6640625" defaultRowHeight="15" x14ac:dyDescent="0.2"/>
  <cols>
    <col min="1" max="1" width="22" customWidth="1"/>
    <col min="2" max="9" width="9" customWidth="1"/>
    <col min="10" max="10" width="38" customWidth="1"/>
  </cols>
  <sheetData>
    <row r="1" spans="1:13" ht="17" x14ac:dyDescent="0.2">
      <c r="A1" s="4" t="s">
        <v>134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">
      <c r="A2" s="3" t="s">
        <v>135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13" x14ac:dyDescent="0.2">
      <c r="A3" s="3" t="s">
        <v>136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5" spans="1:13" x14ac:dyDescent="0.2">
      <c r="A5" s="25" t="s">
        <v>137</v>
      </c>
    </row>
    <row r="6" spans="1:13" ht="43" x14ac:dyDescent="0.2">
      <c r="A6" s="36" t="s">
        <v>2</v>
      </c>
      <c r="B6" s="36" t="s">
        <v>103</v>
      </c>
      <c r="C6" s="36" t="s">
        <v>104</v>
      </c>
      <c r="D6" s="36" t="s">
        <v>105</v>
      </c>
      <c r="E6" s="36" t="s">
        <v>106</v>
      </c>
      <c r="F6" s="36" t="s">
        <v>107</v>
      </c>
      <c r="G6" s="36" t="s">
        <v>138</v>
      </c>
      <c r="H6" s="36" t="s">
        <v>139</v>
      </c>
      <c r="I6" s="36" t="s">
        <v>140</v>
      </c>
      <c r="J6" s="36" t="s">
        <v>141</v>
      </c>
    </row>
    <row r="7" spans="1:13" x14ac:dyDescent="0.2">
      <c r="A7" s="7" t="s">
        <v>27</v>
      </c>
      <c r="B7" s="37">
        <v>10.8469957802366</v>
      </c>
      <c r="C7" s="37">
        <v>12.048997593160699</v>
      </c>
      <c r="D7" s="37">
        <v>13.3028704085279</v>
      </c>
      <c r="E7" s="37">
        <v>15.2980796246932</v>
      </c>
      <c r="F7" s="37">
        <v>18.896039483081701</v>
      </c>
      <c r="G7" s="45">
        <v>14.078596577940001</v>
      </c>
      <c r="H7" s="46">
        <v>7.9</v>
      </c>
      <c r="I7" s="46">
        <v>6.1785965779400298</v>
      </c>
      <c r="J7" s="47" t="s">
        <v>142</v>
      </c>
    </row>
    <row r="8" spans="1:13" x14ac:dyDescent="0.2">
      <c r="A8" s="7" t="s">
        <v>29</v>
      </c>
      <c r="B8" s="37">
        <v>18.921852197617198</v>
      </c>
      <c r="C8" s="37">
        <v>12.926404661981</v>
      </c>
      <c r="D8" s="37">
        <v>7.6501328427609296</v>
      </c>
      <c r="E8" s="37">
        <v>10.524673892407399</v>
      </c>
      <c r="F8" s="37">
        <v>15.1924509417472</v>
      </c>
      <c r="G8" s="45">
        <v>13.043102907302799</v>
      </c>
      <c r="H8" s="46">
        <v>1</v>
      </c>
      <c r="I8" s="46">
        <v>12.043102907302799</v>
      </c>
      <c r="J8" s="47" t="s">
        <v>142</v>
      </c>
    </row>
    <row r="9" spans="1:13" x14ac:dyDescent="0.2">
      <c r="A9" s="7" t="s">
        <v>17</v>
      </c>
      <c r="B9" s="37">
        <v>9.6561471932437897</v>
      </c>
      <c r="C9" s="37">
        <v>8.6606864600053406</v>
      </c>
      <c r="D9" s="37">
        <v>9.9386116496685304</v>
      </c>
      <c r="E9" s="37">
        <v>9.0589224235351793</v>
      </c>
      <c r="F9" s="37">
        <v>9.2523775544505593</v>
      </c>
      <c r="G9" s="45">
        <v>9.3133490561806802</v>
      </c>
      <c r="H9" s="46">
        <v>1.6</v>
      </c>
      <c r="I9" s="46">
        <v>7.7133490561806797</v>
      </c>
      <c r="J9" s="47" t="s">
        <v>142</v>
      </c>
    </row>
    <row r="10" spans="1:13" x14ac:dyDescent="0.2">
      <c r="A10" s="7" t="s">
        <v>31</v>
      </c>
      <c r="B10" s="37">
        <v>13.157071364170299</v>
      </c>
      <c r="C10" s="37">
        <v>9.8647591096622893</v>
      </c>
      <c r="D10" s="37">
        <v>6.9989468926533203</v>
      </c>
      <c r="E10" s="37">
        <v>8.24046464622751</v>
      </c>
      <c r="F10" s="37">
        <v>7.4634125111720602</v>
      </c>
      <c r="G10" s="45">
        <v>9.1449309047770999</v>
      </c>
      <c r="H10" s="46">
        <v>4.9000000000000004</v>
      </c>
      <c r="I10" s="46">
        <v>4.2449309047770898</v>
      </c>
      <c r="J10" s="47" t="s">
        <v>142</v>
      </c>
    </row>
    <row r="11" spans="1:13" x14ac:dyDescent="0.2">
      <c r="A11" s="7" t="s">
        <v>36</v>
      </c>
      <c r="B11" s="37">
        <v>9.86574228367388</v>
      </c>
      <c r="C11" s="37">
        <v>6.6918261359461804</v>
      </c>
      <c r="D11" s="37">
        <v>10.0131697942016</v>
      </c>
      <c r="E11" s="37">
        <v>9.0232187096070504</v>
      </c>
      <c r="F11" s="37">
        <v>8.4368225283098202</v>
      </c>
      <c r="G11" s="45">
        <v>8.8061558903477106</v>
      </c>
      <c r="H11" s="46">
        <v>-0.2</v>
      </c>
      <c r="I11" s="46">
        <v>9.0061558903477099</v>
      </c>
      <c r="J11" s="47" t="s">
        <v>143</v>
      </c>
    </row>
    <row r="12" spans="1:13" x14ac:dyDescent="0.2">
      <c r="A12" s="7" t="s">
        <v>38</v>
      </c>
      <c r="B12" s="37">
        <v>7.16528391709054</v>
      </c>
      <c r="C12" s="37">
        <v>7.7701184222799498</v>
      </c>
      <c r="D12" s="37">
        <v>6.59861901773216</v>
      </c>
      <c r="E12" s="37">
        <v>8.2483067696988499</v>
      </c>
      <c r="F12" s="37">
        <v>7.81626181828124</v>
      </c>
      <c r="G12" s="45">
        <v>7.5197179890165504</v>
      </c>
      <c r="H12" s="46">
        <v>2.7</v>
      </c>
      <c r="I12" s="46">
        <v>4.8197179890165502</v>
      </c>
      <c r="J12" s="47" t="s">
        <v>142</v>
      </c>
    </row>
    <row r="13" spans="1:13" x14ac:dyDescent="0.2">
      <c r="A13" s="7" t="s">
        <v>33</v>
      </c>
      <c r="B13" s="37">
        <v>8.6063915946500202</v>
      </c>
      <c r="C13" s="37">
        <v>5.9439014583304797</v>
      </c>
      <c r="D13" s="37">
        <v>5.4260551248926197</v>
      </c>
      <c r="E13" s="37">
        <v>7.1601961433128301</v>
      </c>
      <c r="F13" s="37">
        <v>10.0257164005055</v>
      </c>
      <c r="G13" s="45">
        <v>7.4324521443382903</v>
      </c>
      <c r="H13" s="46">
        <v>0.5</v>
      </c>
      <c r="I13" s="46">
        <v>6.9324521443382903</v>
      </c>
      <c r="J13" s="47" t="s">
        <v>142</v>
      </c>
    </row>
    <row r="14" spans="1:13" x14ac:dyDescent="0.2">
      <c r="A14" s="7" t="s">
        <v>21</v>
      </c>
      <c r="B14" s="37">
        <v>2.51272989967616</v>
      </c>
      <c r="C14" s="37">
        <v>0.29188144647494002</v>
      </c>
      <c r="D14" s="37">
        <v>4.28886226427419</v>
      </c>
      <c r="E14" s="37">
        <v>12.9308169150396</v>
      </c>
      <c r="F14" s="37">
        <v>12.3678266110834</v>
      </c>
      <c r="G14" s="45">
        <v>6.4784234273096599</v>
      </c>
      <c r="H14" s="46">
        <v>-2.4</v>
      </c>
      <c r="I14" s="46">
        <v>8.8784234273096594</v>
      </c>
      <c r="J14" s="47" t="s">
        <v>143</v>
      </c>
    </row>
    <row r="15" spans="1:13" x14ac:dyDescent="0.2">
      <c r="A15" s="7" t="s">
        <v>37</v>
      </c>
      <c r="B15" s="37">
        <v>0.88015809219244601</v>
      </c>
      <c r="C15" s="37">
        <v>4.91226835401819</v>
      </c>
      <c r="D15" s="37">
        <v>5.1593148941552496</v>
      </c>
      <c r="E15" s="37">
        <v>5.1849074823767802</v>
      </c>
      <c r="F15" s="37">
        <v>5.2529820079616796</v>
      </c>
      <c r="G15" s="45">
        <v>4.2779261661408698</v>
      </c>
      <c r="H15" s="46">
        <v>2</v>
      </c>
      <c r="I15" s="46">
        <v>2.2779261661408698</v>
      </c>
      <c r="J15" s="47" t="s">
        <v>142</v>
      </c>
    </row>
    <row r="16" spans="1:13" x14ac:dyDescent="0.2">
      <c r="A16" s="7" t="s">
        <v>35</v>
      </c>
      <c r="B16" s="37">
        <v>4.5709433189603699</v>
      </c>
      <c r="C16" s="37">
        <v>3.59075488754495</v>
      </c>
      <c r="D16" s="37">
        <v>3.48612055179228</v>
      </c>
      <c r="E16" s="37">
        <v>5.9395577743598098</v>
      </c>
      <c r="F16" s="37">
        <v>2.2549450685700001</v>
      </c>
      <c r="G16" s="45">
        <v>3.9684643202454799</v>
      </c>
      <c r="H16" s="46">
        <v>-2.8</v>
      </c>
      <c r="I16" s="46">
        <v>6.7684643202454797</v>
      </c>
      <c r="J16" s="47" t="s">
        <v>143</v>
      </c>
    </row>
    <row r="17" spans="1:10" x14ac:dyDescent="0.2">
      <c r="A17" s="7" t="s">
        <v>26</v>
      </c>
      <c r="B17" s="37">
        <v>2.3994759895625899</v>
      </c>
      <c r="C17" s="37">
        <v>4.14263376319012</v>
      </c>
      <c r="D17" s="37">
        <v>1.8911047530696301</v>
      </c>
      <c r="E17" s="37">
        <v>5.1725644644311002</v>
      </c>
      <c r="F17" s="37">
        <v>5.4916179146001998</v>
      </c>
      <c r="G17" s="45">
        <v>3.81947937697073</v>
      </c>
      <c r="H17" s="46">
        <v>-2.2999999999999998</v>
      </c>
      <c r="I17" s="46">
        <v>6.1194793769707303</v>
      </c>
      <c r="J17" s="47" t="s">
        <v>143</v>
      </c>
    </row>
    <row r="18" spans="1:10" x14ac:dyDescent="0.2">
      <c r="A18" s="7" t="s">
        <v>22</v>
      </c>
      <c r="B18" s="37">
        <v>4.6896400176456803</v>
      </c>
      <c r="C18" s="37">
        <v>3.38529710735143</v>
      </c>
      <c r="D18" s="37">
        <v>-1.40936720550354</v>
      </c>
      <c r="E18" s="37">
        <v>2.9367551624554999</v>
      </c>
      <c r="F18" s="37">
        <v>6.2236605208495703</v>
      </c>
      <c r="G18" s="45">
        <v>3.1651971205597298</v>
      </c>
      <c r="H18" s="46">
        <v>-2.6</v>
      </c>
      <c r="I18" s="46">
        <v>5.7651971205597299</v>
      </c>
      <c r="J18" s="47" t="s">
        <v>143</v>
      </c>
    </row>
    <row r="19" spans="1:10" x14ac:dyDescent="0.2">
      <c r="A19" s="7" t="s">
        <v>41</v>
      </c>
      <c r="B19" s="37">
        <v>0.181494044165498</v>
      </c>
      <c r="C19" s="37">
        <v>2.8251301243866198</v>
      </c>
      <c r="D19" s="37">
        <v>2.8584607113823699</v>
      </c>
      <c r="E19" s="37">
        <v>3.84521017262839</v>
      </c>
      <c r="F19" s="37">
        <v>4.3322217923381396</v>
      </c>
      <c r="G19" s="45">
        <v>2.8085033689802001</v>
      </c>
      <c r="H19" s="46">
        <v>0.1</v>
      </c>
      <c r="I19" s="46">
        <v>2.7085033689802001</v>
      </c>
      <c r="J19" s="47" t="s">
        <v>142</v>
      </c>
    </row>
    <row r="20" spans="1:10" x14ac:dyDescent="0.2">
      <c r="A20" s="7" t="s">
        <v>32</v>
      </c>
      <c r="B20" s="37">
        <v>3.9254392158857399</v>
      </c>
      <c r="C20" s="37">
        <v>4.00770005506826</v>
      </c>
      <c r="D20" s="37">
        <v>1.06698833620769</v>
      </c>
      <c r="E20" s="37">
        <v>-0.57961761309256998</v>
      </c>
      <c r="F20" s="37">
        <v>1.6497719703507201</v>
      </c>
      <c r="G20" s="45">
        <v>2.0140563928839699</v>
      </c>
      <c r="H20" s="46">
        <v>6.4</v>
      </c>
      <c r="I20" s="46">
        <v>-4.3859436071160296</v>
      </c>
      <c r="J20" s="47" t="s">
        <v>142</v>
      </c>
    </row>
    <row r="21" spans="1:10" x14ac:dyDescent="0.2">
      <c r="A21" s="7" t="s">
        <v>28</v>
      </c>
      <c r="B21" s="37">
        <v>1.4078021626114501</v>
      </c>
      <c r="C21" s="37">
        <v>-2.05079646621085</v>
      </c>
      <c r="D21" s="37">
        <v>2.24323284206671</v>
      </c>
      <c r="E21" s="37">
        <v>2.1716219434914401</v>
      </c>
      <c r="F21" s="37">
        <v>2.0502259425992899</v>
      </c>
      <c r="G21" s="45">
        <v>1.1644172849116099</v>
      </c>
      <c r="H21" s="46">
        <v>1.9</v>
      </c>
      <c r="I21" s="46">
        <v>-0.73558271508839301</v>
      </c>
      <c r="J21" s="47" t="s">
        <v>142</v>
      </c>
    </row>
    <row r="22" spans="1:10" x14ac:dyDescent="0.2">
      <c r="A22" s="7" t="s">
        <v>34</v>
      </c>
      <c r="B22" s="37">
        <v>-0.93819712821573398</v>
      </c>
      <c r="C22" s="37">
        <v>0.74493142176607097</v>
      </c>
      <c r="D22" s="37">
        <v>0.69487057407589004</v>
      </c>
      <c r="E22" s="37">
        <v>2.6047348086192601</v>
      </c>
      <c r="F22" s="37">
        <v>1.95929445708664</v>
      </c>
      <c r="G22" s="45">
        <v>1.01312682666642</v>
      </c>
      <c r="H22" s="46">
        <v>-1.2</v>
      </c>
      <c r="I22" s="46">
        <v>2.2131268266664201</v>
      </c>
      <c r="J22" s="47" t="s">
        <v>143</v>
      </c>
    </row>
    <row r="23" spans="1:10" x14ac:dyDescent="0.2">
      <c r="A23" s="7" t="s">
        <v>15</v>
      </c>
      <c r="B23" s="37">
        <v>-2.4260150885287199</v>
      </c>
      <c r="C23" s="37">
        <v>0.26650964195482602</v>
      </c>
      <c r="D23" s="37">
        <v>4.4743401628398596</v>
      </c>
      <c r="E23" s="37">
        <v>1.17413603255008</v>
      </c>
      <c r="F23" s="37">
        <v>-1.83234328101715</v>
      </c>
      <c r="G23" s="45">
        <v>0.33132549355977903</v>
      </c>
      <c r="H23" s="46">
        <v>-2.1</v>
      </c>
      <c r="I23" s="46">
        <v>2.4313254935597799</v>
      </c>
      <c r="J23" s="47" t="s">
        <v>143</v>
      </c>
    </row>
    <row r="24" spans="1:10" x14ac:dyDescent="0.2">
      <c r="A24" s="7" t="s">
        <v>18</v>
      </c>
      <c r="B24" s="37">
        <v>0.57951171703787296</v>
      </c>
      <c r="C24" s="37">
        <v>-2.7111454965956798</v>
      </c>
      <c r="D24" s="37">
        <v>-3.01889045965348</v>
      </c>
      <c r="E24" s="37">
        <v>-4.5496683109453304</v>
      </c>
      <c r="F24" s="37">
        <v>-4.2917417080190798</v>
      </c>
      <c r="G24" s="45">
        <v>-2.79838685163514</v>
      </c>
      <c r="H24" s="46">
        <v>-0.9</v>
      </c>
      <c r="I24" s="46">
        <v>-1.8983868516351401</v>
      </c>
      <c r="J24" s="47" t="s">
        <v>144</v>
      </c>
    </row>
    <row r="25" spans="1:10" x14ac:dyDescent="0.2">
      <c r="A25" s="7" t="s">
        <v>23</v>
      </c>
      <c r="B25" s="37">
        <v>-2.0155147571483498</v>
      </c>
      <c r="C25" s="37">
        <v>-3.3834746500748598</v>
      </c>
      <c r="D25" s="37">
        <v>-5.9412005468241302</v>
      </c>
      <c r="E25" s="37">
        <v>-2.6423541004261901</v>
      </c>
      <c r="F25" s="37">
        <v>-4.0343054984969804</v>
      </c>
      <c r="G25" s="45">
        <v>-3.6033699105940999</v>
      </c>
      <c r="H25" s="46">
        <v>-1.5</v>
      </c>
      <c r="I25" s="46">
        <v>-2.1033699105940999</v>
      </c>
      <c r="J25" s="47" t="s">
        <v>144</v>
      </c>
    </row>
    <row r="26" spans="1:10" x14ac:dyDescent="0.2">
      <c r="A26" s="15" t="s">
        <v>42</v>
      </c>
      <c r="B26" s="48">
        <v>-6.9975768483511098</v>
      </c>
      <c r="C26" s="48">
        <v>-5.39035976633809</v>
      </c>
      <c r="D26" s="48">
        <v>-4.7731048575642001</v>
      </c>
      <c r="E26" s="48">
        <v>-2.2402772623747098</v>
      </c>
      <c r="F26" s="48">
        <v>-5.8754013436579804</v>
      </c>
      <c r="G26" s="49">
        <v>-5.0553440156572202</v>
      </c>
      <c r="H26" s="50">
        <v>-3.2</v>
      </c>
      <c r="I26" s="50">
        <v>-1.8553440156572201</v>
      </c>
      <c r="J26" s="51" t="s">
        <v>144</v>
      </c>
    </row>
    <row r="27" spans="1:10" x14ac:dyDescent="0.2">
      <c r="A27" s="7" t="s">
        <v>20</v>
      </c>
      <c r="B27" s="37">
        <v>-6.0370671003523704</v>
      </c>
      <c r="C27" s="37">
        <v>-9.0462316223628303</v>
      </c>
      <c r="D27" s="37">
        <v>-10.189233143263399</v>
      </c>
      <c r="E27" s="37">
        <v>-12.4540245631235</v>
      </c>
      <c r="F27" s="37">
        <v>-10.4182356704084</v>
      </c>
      <c r="G27" s="45">
        <v>-9.6289584199020908</v>
      </c>
      <c r="H27" s="46">
        <v>-9.8000000000000007</v>
      </c>
      <c r="I27" s="46">
        <v>0.17104158009790801</v>
      </c>
      <c r="J27" s="47" t="s">
        <v>144</v>
      </c>
    </row>
    <row r="30" spans="1:10" x14ac:dyDescent="0.2">
      <c r="A30" s="25" t="s">
        <v>145</v>
      </c>
    </row>
    <row r="31" spans="1:10" x14ac:dyDescent="0.2">
      <c r="A31" s="52" t="s">
        <v>2</v>
      </c>
      <c r="B31" s="52" t="s">
        <v>146</v>
      </c>
      <c r="C31" s="52" t="s">
        <v>147</v>
      </c>
      <c r="D31" s="52" t="s">
        <v>148</v>
      </c>
    </row>
    <row r="32" spans="1:10" x14ac:dyDescent="0.2">
      <c r="A32" s="26" t="s">
        <v>27</v>
      </c>
      <c r="B32" s="26" t="s">
        <v>149</v>
      </c>
      <c r="C32" s="53">
        <v>91</v>
      </c>
      <c r="D32" s="54" t="s">
        <v>150</v>
      </c>
    </row>
    <row r="33" spans="1:4" x14ac:dyDescent="0.2">
      <c r="A33" s="26" t="s">
        <v>29</v>
      </c>
      <c r="B33" s="26" t="s">
        <v>151</v>
      </c>
      <c r="C33" s="53">
        <v>87</v>
      </c>
      <c r="D33" s="54" t="s">
        <v>150</v>
      </c>
    </row>
    <row r="34" spans="1:4" x14ac:dyDescent="0.2">
      <c r="A34" s="26" t="s">
        <v>17</v>
      </c>
      <c r="B34" s="26" t="s">
        <v>152</v>
      </c>
      <c r="C34" s="53">
        <v>76</v>
      </c>
      <c r="D34" s="54" t="s">
        <v>153</v>
      </c>
    </row>
    <row r="35" spans="1:4" x14ac:dyDescent="0.2">
      <c r="A35" s="26" t="s">
        <v>31</v>
      </c>
      <c r="B35" s="26" t="s">
        <v>154</v>
      </c>
      <c r="C35" s="53">
        <v>75</v>
      </c>
      <c r="D35" s="54" t="s">
        <v>153</v>
      </c>
    </row>
    <row r="36" spans="1:4" x14ac:dyDescent="0.2">
      <c r="A36" s="26" t="s">
        <v>36</v>
      </c>
      <c r="B36" s="26" t="s">
        <v>155</v>
      </c>
      <c r="C36" s="53">
        <v>73</v>
      </c>
      <c r="D36" s="54" t="s">
        <v>153</v>
      </c>
    </row>
    <row r="37" spans="1:4" x14ac:dyDescent="0.2">
      <c r="A37" s="26" t="s">
        <v>38</v>
      </c>
      <c r="B37" s="26" t="s">
        <v>156</v>
      </c>
      <c r="C37" s="53">
        <v>67</v>
      </c>
      <c r="D37" s="54" t="s">
        <v>157</v>
      </c>
    </row>
    <row r="38" spans="1:4" x14ac:dyDescent="0.2">
      <c r="A38" s="26" t="s">
        <v>33</v>
      </c>
      <c r="B38" s="26" t="s">
        <v>158</v>
      </c>
      <c r="C38" s="53">
        <v>67</v>
      </c>
      <c r="D38" s="54" t="s">
        <v>157</v>
      </c>
    </row>
    <row r="39" spans="1:4" x14ac:dyDescent="0.2">
      <c r="A39" s="26" t="s">
        <v>21</v>
      </c>
      <c r="B39" s="26" t="s">
        <v>159</v>
      </c>
      <c r="C39" s="53">
        <v>61</v>
      </c>
      <c r="D39" s="54" t="s">
        <v>157</v>
      </c>
    </row>
    <row r="40" spans="1:4" x14ac:dyDescent="0.2">
      <c r="A40" s="26" t="s">
        <v>37</v>
      </c>
      <c r="B40" s="26" t="s">
        <v>160</v>
      </c>
      <c r="C40" s="53">
        <v>52</v>
      </c>
      <c r="D40" s="54" t="s">
        <v>161</v>
      </c>
    </row>
    <row r="41" spans="1:4" x14ac:dyDescent="0.2">
      <c r="A41" s="26" t="s">
        <v>35</v>
      </c>
      <c r="B41" s="26" t="s">
        <v>162</v>
      </c>
      <c r="C41" s="53">
        <v>50</v>
      </c>
      <c r="D41" s="54" t="s">
        <v>161</v>
      </c>
    </row>
    <row r="42" spans="1:4" x14ac:dyDescent="0.2">
      <c r="A42" s="26" t="s">
        <v>26</v>
      </c>
      <c r="B42" s="26" t="s">
        <v>163</v>
      </c>
      <c r="C42" s="53">
        <v>49</v>
      </c>
      <c r="D42" s="54" t="s">
        <v>161</v>
      </c>
    </row>
    <row r="43" spans="1:4" x14ac:dyDescent="0.2">
      <c r="A43" s="26" t="s">
        <v>22</v>
      </c>
      <c r="B43" s="26" t="s">
        <v>164</v>
      </c>
      <c r="C43" s="53">
        <v>49</v>
      </c>
      <c r="D43" s="54" t="s">
        <v>161</v>
      </c>
    </row>
    <row r="44" spans="1:4" x14ac:dyDescent="0.2">
      <c r="A44" s="26" t="s">
        <v>41</v>
      </c>
      <c r="B44" s="26" t="s">
        <v>165</v>
      </c>
      <c r="C44" s="53">
        <v>48</v>
      </c>
      <c r="D44" s="54" t="s">
        <v>161</v>
      </c>
    </row>
    <row r="45" spans="1:4" x14ac:dyDescent="0.2">
      <c r="A45" s="26" t="s">
        <v>32</v>
      </c>
      <c r="B45" s="26" t="s">
        <v>166</v>
      </c>
      <c r="C45" s="53">
        <v>48</v>
      </c>
      <c r="D45" s="54" t="s">
        <v>161</v>
      </c>
    </row>
    <row r="46" spans="1:4" x14ac:dyDescent="0.2">
      <c r="A46" s="26" t="s">
        <v>28</v>
      </c>
      <c r="B46" s="26" t="s">
        <v>167</v>
      </c>
      <c r="C46" s="53">
        <v>40</v>
      </c>
      <c r="D46" s="54" t="s">
        <v>168</v>
      </c>
    </row>
    <row r="47" spans="1:4" x14ac:dyDescent="0.2">
      <c r="A47" s="26" t="s">
        <v>34</v>
      </c>
      <c r="B47" s="26" t="s">
        <v>169</v>
      </c>
      <c r="C47" s="53">
        <v>38</v>
      </c>
      <c r="D47" s="54" t="s">
        <v>168</v>
      </c>
    </row>
    <row r="48" spans="1:4" x14ac:dyDescent="0.2">
      <c r="A48" s="26" t="s">
        <v>15</v>
      </c>
      <c r="B48" s="26" t="s">
        <v>170</v>
      </c>
      <c r="C48" s="53">
        <v>35</v>
      </c>
      <c r="D48" s="54" t="s">
        <v>168</v>
      </c>
    </row>
    <row r="49" spans="1:10" x14ac:dyDescent="0.2">
      <c r="A49" s="26" t="s">
        <v>18</v>
      </c>
      <c r="B49" s="26" t="s">
        <v>171</v>
      </c>
      <c r="C49" s="53">
        <v>24</v>
      </c>
      <c r="D49" s="54" t="s">
        <v>172</v>
      </c>
    </row>
    <row r="50" spans="1:10" x14ac:dyDescent="0.2">
      <c r="A50" s="26" t="s">
        <v>23</v>
      </c>
      <c r="B50" s="26" t="s">
        <v>173</v>
      </c>
      <c r="C50" s="53">
        <v>22</v>
      </c>
      <c r="D50" s="54" t="s">
        <v>172</v>
      </c>
    </row>
    <row r="51" spans="1:10" x14ac:dyDescent="0.2">
      <c r="A51" s="55" t="s">
        <v>42</v>
      </c>
      <c r="B51" s="56" t="s">
        <v>174</v>
      </c>
      <c r="C51" s="57">
        <v>21</v>
      </c>
      <c r="D51" s="58" t="s">
        <v>172</v>
      </c>
    </row>
    <row r="52" spans="1:10" x14ac:dyDescent="0.2">
      <c r="A52" s="26" t="s">
        <v>20</v>
      </c>
      <c r="B52" s="26" t="s">
        <v>175</v>
      </c>
      <c r="C52" s="53">
        <v>13</v>
      </c>
      <c r="D52" s="54" t="s">
        <v>176</v>
      </c>
    </row>
    <row r="55" spans="1:10" x14ac:dyDescent="0.2">
      <c r="A55" s="2" t="s">
        <v>177</v>
      </c>
      <c r="B55" s="2"/>
      <c r="C55" s="2"/>
      <c r="D55" s="2"/>
      <c r="E55" s="2"/>
      <c r="F55" s="2"/>
      <c r="G55" s="2"/>
      <c r="H55" s="2"/>
      <c r="I55" s="2"/>
      <c r="J55" s="2"/>
    </row>
    <row r="56" spans="1:10" x14ac:dyDescent="0.2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2">
      <c r="A57" s="2" t="s">
        <v>178</v>
      </c>
      <c r="B57" s="2"/>
      <c r="C57" s="2"/>
      <c r="D57" s="2"/>
      <c r="E57" s="2"/>
      <c r="F57" s="2"/>
      <c r="G57" s="2"/>
      <c r="H57" s="2"/>
      <c r="I57" s="2"/>
      <c r="J57" s="2"/>
    </row>
    <row r="58" spans="1:10" x14ac:dyDescent="0.2">
      <c r="A58" s="1" t="s">
        <v>179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2">
      <c r="A59" s="1" t="s">
        <v>180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2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2">
      <c r="A61" s="2" t="s">
        <v>181</v>
      </c>
      <c r="B61" s="2"/>
      <c r="C61" s="2"/>
      <c r="D61" s="2"/>
      <c r="E61" s="2"/>
      <c r="F61" s="2"/>
      <c r="G61" s="2"/>
      <c r="H61" s="2"/>
      <c r="I61" s="2"/>
      <c r="J61" s="2"/>
    </row>
    <row r="62" spans="1:10" x14ac:dyDescent="0.2">
      <c r="A62" s="1" t="s">
        <v>182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2">
      <c r="A63" s="1" t="s">
        <v>183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2">
      <c r="A64" s="1" t="s">
        <v>184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2">
      <c r="A65" s="1" t="s">
        <v>185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2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spans="1:10" x14ac:dyDescent="0.2">
      <c r="A67" s="2" t="s">
        <v>186</v>
      </c>
      <c r="B67" s="2"/>
      <c r="C67" s="2"/>
      <c r="D67" s="2"/>
      <c r="E67" s="2"/>
      <c r="F67" s="2"/>
      <c r="G67" s="2"/>
      <c r="H67" s="2"/>
      <c r="I67" s="2"/>
      <c r="J67" s="2"/>
    </row>
    <row r="68" spans="1:10" x14ac:dyDescent="0.2">
      <c r="A68" s="1" t="s">
        <v>187</v>
      </c>
      <c r="B68" s="1"/>
      <c r="C68" s="1"/>
      <c r="D68" s="1"/>
      <c r="E68" s="1"/>
      <c r="F68" s="1"/>
      <c r="G68" s="1"/>
      <c r="H68" s="1"/>
      <c r="I68" s="1"/>
      <c r="J68" s="1"/>
    </row>
    <row r="69" spans="1:10" x14ac:dyDescent="0.2">
      <c r="A69" s="1" t="s">
        <v>188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2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2">
      <c r="A71" s="2" t="s">
        <v>189</v>
      </c>
      <c r="B71" s="2"/>
      <c r="C71" s="2"/>
      <c r="D71" s="2"/>
      <c r="E71" s="2"/>
      <c r="F71" s="2"/>
      <c r="G71" s="2"/>
      <c r="H71" s="2"/>
      <c r="I71" s="2"/>
      <c r="J71" s="2"/>
    </row>
    <row r="72" spans="1:10" x14ac:dyDescent="0.2">
      <c r="A72" s="1" t="s">
        <v>190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2">
      <c r="A73" s="1" t="s">
        <v>191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2">
      <c r="A74" s="1" t="s">
        <v>192</v>
      </c>
      <c r="B74" s="1"/>
      <c r="C74" s="1"/>
      <c r="D74" s="1"/>
      <c r="E74" s="1"/>
      <c r="F74" s="1"/>
      <c r="G74" s="1"/>
      <c r="H74" s="1"/>
      <c r="I74" s="1"/>
      <c r="J74" s="1"/>
    </row>
    <row r="75" spans="1:10" x14ac:dyDescent="0.2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spans="1:10" x14ac:dyDescent="0.2">
      <c r="A76" s="2" t="s">
        <v>193</v>
      </c>
      <c r="B76" s="2"/>
      <c r="C76" s="2"/>
      <c r="D76" s="2"/>
      <c r="E76" s="2"/>
      <c r="F76" s="2"/>
      <c r="G76" s="2"/>
      <c r="H76" s="2"/>
      <c r="I76" s="2"/>
      <c r="J76" s="2"/>
    </row>
    <row r="77" spans="1:10" x14ac:dyDescent="0.2">
      <c r="A77" s="1" t="s">
        <v>194</v>
      </c>
      <c r="B77" s="1"/>
      <c r="C77" s="1"/>
      <c r="D77" s="1"/>
      <c r="E77" s="1"/>
      <c r="F77" s="1"/>
      <c r="G77" s="1"/>
      <c r="H77" s="1"/>
      <c r="I77" s="1"/>
      <c r="J77" s="1"/>
    </row>
    <row r="78" spans="1:10" x14ac:dyDescent="0.2">
      <c r="A78" s="1" t="s">
        <v>195</v>
      </c>
      <c r="B78" s="1"/>
      <c r="C78" s="1"/>
      <c r="D78" s="1"/>
      <c r="E78" s="1"/>
      <c r="F78" s="1"/>
      <c r="G78" s="1"/>
      <c r="H78" s="1"/>
      <c r="I78" s="1"/>
      <c r="J78" s="1"/>
    </row>
    <row r="79" spans="1:10" x14ac:dyDescent="0.2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spans="1:10" x14ac:dyDescent="0.2">
      <c r="A80" s="2" t="s">
        <v>196</v>
      </c>
      <c r="B80" s="2"/>
      <c r="C80" s="2"/>
      <c r="D80" s="2"/>
      <c r="E80" s="2"/>
      <c r="F80" s="2"/>
      <c r="G80" s="2"/>
      <c r="H80" s="2"/>
      <c r="I80" s="2"/>
      <c r="J80" s="2"/>
    </row>
    <row r="81" spans="1:10" x14ac:dyDescent="0.2">
      <c r="A81" s="1" t="s">
        <v>197</v>
      </c>
      <c r="B81" s="1"/>
      <c r="C81" s="1"/>
      <c r="D81" s="1"/>
      <c r="E81" s="1"/>
      <c r="F81" s="1"/>
      <c r="G81" s="1"/>
      <c r="H81" s="1"/>
      <c r="I81" s="1"/>
      <c r="J81" s="1"/>
    </row>
    <row r="82" spans="1:10" x14ac:dyDescent="0.2">
      <c r="A82" s="1" t="s">
        <v>198</v>
      </c>
      <c r="B82" s="1"/>
      <c r="C82" s="1"/>
      <c r="D82" s="1"/>
      <c r="E82" s="1"/>
      <c r="F82" s="1"/>
      <c r="G82" s="1"/>
      <c r="H82" s="1"/>
      <c r="I82" s="1"/>
      <c r="J82" s="1"/>
    </row>
    <row r="83" spans="1:10" x14ac:dyDescent="0.2">
      <c r="A83" s="1" t="s">
        <v>199</v>
      </c>
      <c r="B83" s="1"/>
      <c r="C83" s="1"/>
      <c r="D83" s="1"/>
      <c r="E83" s="1"/>
      <c r="F83" s="1"/>
      <c r="G83" s="1"/>
      <c r="H83" s="1"/>
      <c r="I83" s="1"/>
      <c r="J83" s="1"/>
    </row>
    <row r="84" spans="1:10" x14ac:dyDescent="0.2">
      <c r="A84" s="1" t="s">
        <v>200</v>
      </c>
      <c r="B84" s="1"/>
      <c r="C84" s="1"/>
      <c r="D84" s="1"/>
      <c r="E84" s="1"/>
      <c r="F84" s="1"/>
      <c r="G84" s="1"/>
      <c r="H84" s="1"/>
      <c r="I84" s="1"/>
      <c r="J84" s="1"/>
    </row>
    <row r="85" spans="1:10" x14ac:dyDescent="0.2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spans="1:10" x14ac:dyDescent="0.2">
      <c r="A86" s="2" t="s">
        <v>201</v>
      </c>
      <c r="B86" s="2"/>
      <c r="C86" s="2"/>
      <c r="D86" s="2"/>
      <c r="E86" s="2"/>
      <c r="F86" s="2"/>
      <c r="G86" s="2"/>
      <c r="H86" s="2"/>
      <c r="I86" s="2"/>
      <c r="J86" s="2"/>
    </row>
    <row r="87" spans="1:10" x14ac:dyDescent="0.2">
      <c r="A87" s="1" t="s">
        <v>202</v>
      </c>
      <c r="B87" s="1"/>
      <c r="C87" s="1"/>
      <c r="D87" s="1"/>
      <c r="E87" s="1"/>
      <c r="F87" s="1"/>
      <c r="G87" s="1"/>
      <c r="H87" s="1"/>
      <c r="I87" s="1"/>
      <c r="J87" s="1"/>
    </row>
    <row r="88" spans="1:10" x14ac:dyDescent="0.2">
      <c r="A88" s="1" t="s">
        <v>203</v>
      </c>
      <c r="B88" s="1"/>
      <c r="C88" s="1"/>
      <c r="D88" s="1"/>
      <c r="E88" s="1"/>
      <c r="F88" s="1"/>
      <c r="G88" s="1"/>
      <c r="H88" s="1"/>
      <c r="I88" s="1"/>
      <c r="J88" s="1"/>
    </row>
    <row r="89" spans="1:10" x14ac:dyDescent="0.2">
      <c r="A89" s="1" t="s">
        <v>204</v>
      </c>
      <c r="B89" s="1"/>
      <c r="C89" s="1"/>
      <c r="D89" s="1"/>
      <c r="E89" s="1"/>
      <c r="F89" s="1"/>
      <c r="G89" s="1"/>
      <c r="H89" s="1"/>
      <c r="I89" s="1"/>
      <c r="J89" s="1"/>
    </row>
    <row r="90" spans="1:10" x14ac:dyDescent="0.2">
      <c r="A90" s="1" t="s">
        <v>205</v>
      </c>
      <c r="B90" s="1"/>
      <c r="C90" s="1"/>
      <c r="D90" s="1"/>
      <c r="E90" s="1"/>
      <c r="F90" s="1"/>
      <c r="G90" s="1"/>
      <c r="H90" s="1"/>
      <c r="I90" s="1"/>
      <c r="J90" s="1"/>
    </row>
    <row r="91" spans="1:10" x14ac:dyDescent="0.2">
      <c r="A91" s="1" t="s">
        <v>206</v>
      </c>
      <c r="B91" s="1"/>
      <c r="C91" s="1"/>
      <c r="D91" s="1"/>
      <c r="E91" s="1"/>
      <c r="F91" s="1"/>
      <c r="G91" s="1"/>
      <c r="H91" s="1"/>
      <c r="I91" s="1"/>
      <c r="J91" s="1"/>
    </row>
    <row r="92" spans="1:10" x14ac:dyDescent="0.2">
      <c r="A92" s="1" t="s">
        <v>207</v>
      </c>
      <c r="B92" s="1"/>
      <c r="C92" s="1"/>
      <c r="D92" s="1"/>
      <c r="E92" s="1"/>
      <c r="F92" s="1"/>
      <c r="G92" s="1"/>
      <c r="H92" s="1"/>
      <c r="I92" s="1"/>
      <c r="J92" s="1"/>
    </row>
    <row r="93" spans="1:10" x14ac:dyDescent="0.2">
      <c r="A93" s="1" t="s">
        <v>208</v>
      </c>
      <c r="B93" s="1"/>
      <c r="C93" s="1"/>
      <c r="D93" s="1"/>
      <c r="E93" s="1"/>
      <c r="F93" s="1"/>
      <c r="G93" s="1"/>
      <c r="H93" s="1"/>
      <c r="I93" s="1"/>
      <c r="J93" s="1"/>
    </row>
  </sheetData>
  <mergeCells count="42">
    <mergeCell ref="A92:J92"/>
    <mergeCell ref="A93:J93"/>
    <mergeCell ref="A87:J87"/>
    <mergeCell ref="A88:J88"/>
    <mergeCell ref="A89:J89"/>
    <mergeCell ref="A90:J90"/>
    <mergeCell ref="A91:J91"/>
    <mergeCell ref="A82:J82"/>
    <mergeCell ref="A83:J83"/>
    <mergeCell ref="A84:J84"/>
    <mergeCell ref="A85:J85"/>
    <mergeCell ref="A86:J86"/>
    <mergeCell ref="A77:J77"/>
    <mergeCell ref="A78:J78"/>
    <mergeCell ref="A79:J79"/>
    <mergeCell ref="A80:J80"/>
    <mergeCell ref="A81:J81"/>
    <mergeCell ref="A72:J72"/>
    <mergeCell ref="A73:J73"/>
    <mergeCell ref="A74:J74"/>
    <mergeCell ref="A75:J75"/>
    <mergeCell ref="A76:J76"/>
    <mergeCell ref="A67:J67"/>
    <mergeCell ref="A68:J68"/>
    <mergeCell ref="A69:J69"/>
    <mergeCell ref="A70:J70"/>
    <mergeCell ref="A71:J71"/>
    <mergeCell ref="A62:J62"/>
    <mergeCell ref="A63:J63"/>
    <mergeCell ref="A64:J64"/>
    <mergeCell ref="A65:J65"/>
    <mergeCell ref="A66:J66"/>
    <mergeCell ref="A57:J57"/>
    <mergeCell ref="A58:J58"/>
    <mergeCell ref="A59:J59"/>
    <mergeCell ref="A60:J60"/>
    <mergeCell ref="A61:J61"/>
    <mergeCell ref="A1:M1"/>
    <mergeCell ref="A2:M2"/>
    <mergeCell ref="A3:M3"/>
    <mergeCell ref="A55:J55"/>
    <mergeCell ref="A56:J56"/>
  </mergeCells>
  <conditionalFormatting sqref="B7:B27">
    <cfRule type="colorScale" priority="2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C7:C27">
    <cfRule type="colorScale" priority="3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D7:D27">
    <cfRule type="colorScale" priority="4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E7:E27">
    <cfRule type="colorScale" priority="5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F7:F27">
    <cfRule type="colorScale" priority="6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G7:G27">
    <cfRule type="colorScale" priority="7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H7:H27">
    <cfRule type="colorScale" priority="8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125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5.75" customHeight="1" x14ac:dyDescent="0.2">
      <c r="A1" s="5" t="s">
        <v>209</v>
      </c>
    </row>
    <row r="2" spans="1:1" ht="15" customHeight="1" x14ac:dyDescent="0.2">
      <c r="A2" s="26"/>
    </row>
    <row r="3" spans="1:1" ht="15" customHeight="1" x14ac:dyDescent="0.2">
      <c r="A3" s="25" t="s">
        <v>210</v>
      </c>
    </row>
    <row r="4" spans="1:1" ht="15" customHeight="1" x14ac:dyDescent="0.2">
      <c r="A4" s="26" t="s">
        <v>211</v>
      </c>
    </row>
    <row r="5" spans="1:1" ht="15" customHeight="1" x14ac:dyDescent="0.2">
      <c r="A5" s="26" t="s">
        <v>212</v>
      </c>
    </row>
    <row r="6" spans="1:1" ht="15" customHeight="1" x14ac:dyDescent="0.2">
      <c r="A6" s="26" t="s">
        <v>213</v>
      </c>
    </row>
    <row r="7" spans="1:1" ht="15" customHeight="1" x14ac:dyDescent="0.2">
      <c r="A7" s="26"/>
    </row>
    <row r="8" spans="1:1" ht="15" customHeight="1" x14ac:dyDescent="0.2">
      <c r="A8" s="25" t="s">
        <v>214</v>
      </c>
    </row>
    <row r="9" spans="1:1" ht="15" customHeight="1" x14ac:dyDescent="0.2">
      <c r="A9" s="26" t="s">
        <v>215</v>
      </c>
    </row>
    <row r="10" spans="1:1" ht="15" customHeight="1" x14ac:dyDescent="0.2">
      <c r="A10" s="26" t="s">
        <v>216</v>
      </c>
    </row>
    <row r="11" spans="1:1" ht="15" customHeight="1" x14ac:dyDescent="0.2">
      <c r="A11" s="26" t="s">
        <v>217</v>
      </c>
    </row>
    <row r="12" spans="1:1" ht="15" customHeight="1" x14ac:dyDescent="0.2">
      <c r="A12" s="26" t="s">
        <v>218</v>
      </c>
    </row>
    <row r="13" spans="1:1" ht="15" customHeight="1" x14ac:dyDescent="0.2">
      <c r="A13" s="26"/>
    </row>
    <row r="14" spans="1:1" ht="15" customHeight="1" x14ac:dyDescent="0.2">
      <c r="A14" s="25" t="s">
        <v>219</v>
      </c>
    </row>
    <row r="15" spans="1:1" ht="15" customHeight="1" x14ac:dyDescent="0.2">
      <c r="A15" s="26" t="s">
        <v>220</v>
      </c>
    </row>
    <row r="16" spans="1:1" ht="15" customHeight="1" x14ac:dyDescent="0.2">
      <c r="A16" s="26" t="s">
        <v>221</v>
      </c>
    </row>
    <row r="17" spans="1:1" ht="15" customHeight="1" x14ac:dyDescent="0.2">
      <c r="A17" s="26" t="s">
        <v>222</v>
      </c>
    </row>
    <row r="18" spans="1:1" ht="15" customHeight="1" x14ac:dyDescent="0.2">
      <c r="A18" s="26" t="s">
        <v>223</v>
      </c>
    </row>
    <row r="19" spans="1:1" ht="15" customHeight="1" x14ac:dyDescent="0.2">
      <c r="A19" s="26" t="s">
        <v>224</v>
      </c>
    </row>
    <row r="20" spans="1:1" ht="15" customHeight="1" x14ac:dyDescent="0.2">
      <c r="A20" s="26" t="s">
        <v>225</v>
      </c>
    </row>
    <row r="21" spans="1:1" ht="15" customHeight="1" x14ac:dyDescent="0.2">
      <c r="A21" s="26" t="s">
        <v>226</v>
      </c>
    </row>
    <row r="22" spans="1:1" ht="15" customHeight="1" x14ac:dyDescent="0.2">
      <c r="A22" s="26"/>
    </row>
    <row r="23" spans="1:1" ht="15" customHeight="1" x14ac:dyDescent="0.2">
      <c r="A23" s="25" t="s">
        <v>227</v>
      </c>
    </row>
    <row r="24" spans="1:1" ht="15" customHeight="1" x14ac:dyDescent="0.2">
      <c r="A24" s="26" t="s">
        <v>228</v>
      </c>
    </row>
    <row r="25" spans="1:1" ht="15" customHeight="1" x14ac:dyDescent="0.2">
      <c r="A25" s="26" t="s">
        <v>229</v>
      </c>
    </row>
    <row r="26" spans="1:1" ht="15" customHeight="1" x14ac:dyDescent="0.2">
      <c r="A26" s="26" t="s">
        <v>230</v>
      </c>
    </row>
    <row r="27" spans="1:1" ht="15" customHeight="1" x14ac:dyDescent="0.2">
      <c r="A27" s="26"/>
    </row>
    <row r="28" spans="1:1" ht="15" customHeight="1" x14ac:dyDescent="0.2">
      <c r="A28" s="26" t="s">
        <v>231</v>
      </c>
    </row>
    <row r="29" spans="1:1" ht="15" customHeight="1" x14ac:dyDescent="0.2">
      <c r="A29" s="26" t="s">
        <v>232</v>
      </c>
    </row>
    <row r="30" spans="1:1" ht="15" customHeight="1" x14ac:dyDescent="0.2">
      <c r="A30" s="26" t="s">
        <v>233</v>
      </c>
    </row>
    <row r="31" spans="1:1" ht="15" customHeight="1" x14ac:dyDescent="0.2">
      <c r="A31" s="26" t="s">
        <v>234</v>
      </c>
    </row>
    <row r="32" spans="1:1" ht="15" customHeight="1" x14ac:dyDescent="0.2">
      <c r="A32" s="26" t="s">
        <v>235</v>
      </c>
    </row>
    <row r="33" spans="1:1" ht="15" customHeight="1" x14ac:dyDescent="0.2">
      <c r="A33" s="26"/>
    </row>
    <row r="34" spans="1:1" ht="15" customHeight="1" x14ac:dyDescent="0.2">
      <c r="A34" s="25" t="s">
        <v>236</v>
      </c>
    </row>
    <row r="35" spans="1:1" ht="15" customHeight="1" x14ac:dyDescent="0.2">
      <c r="A35" s="26" t="s">
        <v>237</v>
      </c>
    </row>
    <row r="36" spans="1:1" ht="15" customHeight="1" x14ac:dyDescent="0.2">
      <c r="A36" s="26" t="s">
        <v>238</v>
      </c>
    </row>
    <row r="37" spans="1:1" ht="15" customHeight="1" x14ac:dyDescent="0.2">
      <c r="A37" s="26" t="s">
        <v>239</v>
      </c>
    </row>
    <row r="38" spans="1:1" ht="15" customHeight="1" x14ac:dyDescent="0.2">
      <c r="A38" s="26" t="s">
        <v>240</v>
      </c>
    </row>
    <row r="39" spans="1:1" ht="15" customHeight="1" x14ac:dyDescent="0.2">
      <c r="A39" s="26" t="s">
        <v>241</v>
      </c>
    </row>
    <row r="40" spans="1:1" ht="15" customHeight="1" x14ac:dyDescent="0.2">
      <c r="A40" s="26" t="s">
        <v>242</v>
      </c>
    </row>
    <row r="41" spans="1:1" ht="15" customHeight="1" x14ac:dyDescent="0.2">
      <c r="A41" s="26"/>
    </row>
    <row r="42" spans="1:1" ht="15" customHeight="1" x14ac:dyDescent="0.2">
      <c r="A42" s="25" t="s">
        <v>243</v>
      </c>
    </row>
    <row r="43" spans="1:1" ht="15" customHeight="1" x14ac:dyDescent="0.2">
      <c r="A43" s="26" t="s">
        <v>244</v>
      </c>
    </row>
    <row r="44" spans="1:1" ht="15" customHeight="1" x14ac:dyDescent="0.2">
      <c r="A44" s="26" t="s">
        <v>245</v>
      </c>
    </row>
    <row r="45" spans="1:1" ht="15" customHeight="1" x14ac:dyDescent="0.2">
      <c r="A45" s="26" t="s">
        <v>246</v>
      </c>
    </row>
    <row r="46" spans="1:1" ht="15" customHeight="1" x14ac:dyDescent="0.2">
      <c r="A46" s="26" t="s">
        <v>247</v>
      </c>
    </row>
    <row r="47" spans="1:1" ht="15" customHeight="1" x14ac:dyDescent="0.2">
      <c r="A47" s="26" t="s">
        <v>248</v>
      </c>
    </row>
    <row r="48" spans="1:1" ht="15" customHeight="1" x14ac:dyDescent="0.2">
      <c r="A48" s="26" t="s">
        <v>249</v>
      </c>
    </row>
    <row r="49" spans="1:1" ht="15" customHeight="1" x14ac:dyDescent="0.2">
      <c r="A49" s="26"/>
    </row>
    <row r="50" spans="1:1" ht="15" customHeight="1" x14ac:dyDescent="0.2">
      <c r="A50" s="25" t="s">
        <v>250</v>
      </c>
    </row>
    <row r="51" spans="1:1" ht="15" customHeight="1" x14ac:dyDescent="0.2">
      <c r="A51" s="26" t="s">
        <v>251</v>
      </c>
    </row>
    <row r="52" spans="1:1" ht="15" customHeight="1" x14ac:dyDescent="0.2">
      <c r="A52" s="26" t="s">
        <v>252</v>
      </c>
    </row>
    <row r="53" spans="1:1" ht="15" customHeight="1" x14ac:dyDescent="0.2">
      <c r="A53" s="26" t="s">
        <v>253</v>
      </c>
    </row>
    <row r="54" spans="1:1" ht="15" customHeight="1" x14ac:dyDescent="0.2">
      <c r="A54" s="26"/>
    </row>
    <row r="55" spans="1:1" ht="15" customHeight="1" x14ac:dyDescent="0.2">
      <c r="A55" s="25" t="s">
        <v>254</v>
      </c>
    </row>
    <row r="56" spans="1:1" ht="15" customHeight="1" x14ac:dyDescent="0.2">
      <c r="A56" s="26" t="s">
        <v>255</v>
      </c>
    </row>
    <row r="57" spans="1:1" ht="15" customHeight="1" x14ac:dyDescent="0.2">
      <c r="A57" s="26" t="s">
        <v>256</v>
      </c>
    </row>
    <row r="58" spans="1:1" ht="15" customHeight="1" x14ac:dyDescent="0.2">
      <c r="A58" s="26"/>
    </row>
    <row r="59" spans="1:1" ht="15" customHeight="1" x14ac:dyDescent="0.2">
      <c r="A59" s="25" t="s">
        <v>257</v>
      </c>
    </row>
    <row r="60" spans="1:1" ht="15" customHeight="1" x14ac:dyDescent="0.2">
      <c r="A60" s="26" t="s">
        <v>258</v>
      </c>
    </row>
    <row r="61" spans="1:1" ht="15" customHeight="1" x14ac:dyDescent="0.2">
      <c r="A61" s="26" t="s">
        <v>259</v>
      </c>
    </row>
    <row r="62" spans="1:1" ht="15" customHeight="1" x14ac:dyDescent="0.2">
      <c r="A62" s="26" t="s">
        <v>260</v>
      </c>
    </row>
    <row r="63" spans="1:1" ht="15" customHeight="1" x14ac:dyDescent="0.2">
      <c r="A63" s="26" t="s">
        <v>261</v>
      </c>
    </row>
    <row r="64" spans="1:1" ht="15" customHeight="1" x14ac:dyDescent="0.2">
      <c r="A64" s="26"/>
    </row>
    <row r="65" spans="1:1" ht="15" customHeight="1" x14ac:dyDescent="0.2">
      <c r="A65" s="25" t="s">
        <v>262</v>
      </c>
    </row>
    <row r="66" spans="1:1" ht="15" customHeight="1" x14ac:dyDescent="0.2">
      <c r="A66" s="26" t="s">
        <v>263</v>
      </c>
    </row>
    <row r="67" spans="1:1" ht="15" customHeight="1" x14ac:dyDescent="0.2">
      <c r="A67" s="26" t="s">
        <v>264</v>
      </c>
    </row>
    <row r="68" spans="1:1" ht="15" customHeight="1" x14ac:dyDescent="0.2">
      <c r="A68" s="26" t="s">
        <v>265</v>
      </c>
    </row>
    <row r="69" spans="1:1" ht="15" customHeight="1" x14ac:dyDescent="0.2">
      <c r="A69" s="26" t="s">
        <v>266</v>
      </c>
    </row>
    <row r="70" spans="1:1" ht="15" customHeight="1" x14ac:dyDescent="0.2">
      <c r="A70" s="26" t="s">
        <v>267</v>
      </c>
    </row>
    <row r="71" spans="1:1" ht="15" customHeight="1" x14ac:dyDescent="0.2">
      <c r="A71" s="26" t="s">
        <v>268</v>
      </c>
    </row>
    <row r="72" spans="1:1" ht="15" customHeight="1" x14ac:dyDescent="0.2">
      <c r="A72" s="26"/>
    </row>
    <row r="73" spans="1:1" ht="15" customHeight="1" x14ac:dyDescent="0.2">
      <c r="A73" s="25" t="s">
        <v>269</v>
      </c>
    </row>
    <row r="74" spans="1:1" ht="15" customHeight="1" x14ac:dyDescent="0.2">
      <c r="A74" s="26" t="s">
        <v>270</v>
      </c>
    </row>
    <row r="75" spans="1:1" ht="15" customHeight="1" x14ac:dyDescent="0.2">
      <c r="A75" s="26" t="s">
        <v>271</v>
      </c>
    </row>
    <row r="76" spans="1:1" ht="15" customHeight="1" x14ac:dyDescent="0.2">
      <c r="A76" s="26"/>
    </row>
    <row r="77" spans="1:1" ht="15" customHeight="1" x14ac:dyDescent="0.2">
      <c r="A77" s="26" t="s">
        <v>272</v>
      </c>
    </row>
    <row r="78" spans="1:1" ht="15" customHeight="1" x14ac:dyDescent="0.2">
      <c r="A78" s="26" t="s">
        <v>273</v>
      </c>
    </row>
    <row r="79" spans="1:1" ht="15" customHeight="1" x14ac:dyDescent="0.2">
      <c r="A79" s="26" t="s">
        <v>274</v>
      </c>
    </row>
    <row r="80" spans="1:1" ht="15" customHeight="1" x14ac:dyDescent="0.2">
      <c r="A80" s="26"/>
    </row>
    <row r="81" spans="1:1" ht="15" customHeight="1" x14ac:dyDescent="0.2">
      <c r="A81" s="25" t="s">
        <v>275</v>
      </c>
    </row>
    <row r="82" spans="1:1" ht="15" customHeight="1" x14ac:dyDescent="0.2">
      <c r="A82" s="26" t="s">
        <v>276</v>
      </c>
    </row>
    <row r="83" spans="1:1" ht="15" customHeight="1" x14ac:dyDescent="0.2">
      <c r="A83" s="26" t="s">
        <v>277</v>
      </c>
    </row>
    <row r="84" spans="1:1" ht="15" customHeight="1" x14ac:dyDescent="0.2">
      <c r="A84" s="26" t="s">
        <v>278</v>
      </c>
    </row>
    <row r="85" spans="1:1" ht="15" customHeight="1" x14ac:dyDescent="0.2">
      <c r="A85" s="26" t="s">
        <v>279</v>
      </c>
    </row>
    <row r="86" spans="1:1" ht="15" customHeight="1" x14ac:dyDescent="0.2">
      <c r="A86" s="26" t="s">
        <v>280</v>
      </c>
    </row>
    <row r="87" spans="1:1" ht="15" customHeight="1" x14ac:dyDescent="0.2">
      <c r="A87" s="26"/>
    </row>
    <row r="88" spans="1:1" ht="15" customHeight="1" x14ac:dyDescent="0.2">
      <c r="A88" s="26" t="s">
        <v>281</v>
      </c>
    </row>
    <row r="89" spans="1:1" ht="15" customHeight="1" x14ac:dyDescent="0.2">
      <c r="A89" s="26" t="s">
        <v>282</v>
      </c>
    </row>
    <row r="90" spans="1:1" ht="15" customHeight="1" x14ac:dyDescent="0.2">
      <c r="A90" s="26"/>
    </row>
    <row r="91" spans="1:1" ht="15" customHeight="1" x14ac:dyDescent="0.2">
      <c r="A91" s="25" t="s">
        <v>283</v>
      </c>
    </row>
    <row r="92" spans="1:1" ht="15" customHeight="1" x14ac:dyDescent="0.2">
      <c r="A92" s="26" t="s">
        <v>284</v>
      </c>
    </row>
    <row r="93" spans="1:1" ht="15" customHeight="1" x14ac:dyDescent="0.2">
      <c r="A93" s="26" t="s">
        <v>285</v>
      </c>
    </row>
    <row r="94" spans="1:1" ht="15" customHeight="1" x14ac:dyDescent="0.2">
      <c r="A94" s="26" t="s">
        <v>286</v>
      </c>
    </row>
    <row r="95" spans="1:1" ht="15" customHeight="1" x14ac:dyDescent="0.2">
      <c r="A95" s="26" t="s">
        <v>287</v>
      </c>
    </row>
    <row r="96" spans="1:1" x14ac:dyDescent="0.2">
      <c r="A96" s="26"/>
    </row>
    <row r="97" spans="1:1" x14ac:dyDescent="0.2">
      <c r="A97" s="25" t="s">
        <v>288</v>
      </c>
    </row>
    <row r="98" spans="1:1" x14ac:dyDescent="0.2">
      <c r="A98" s="26" t="s">
        <v>289</v>
      </c>
    </row>
    <row r="99" spans="1:1" x14ac:dyDescent="0.2">
      <c r="A99" s="26" t="s">
        <v>290</v>
      </c>
    </row>
    <row r="100" spans="1:1" x14ac:dyDescent="0.2">
      <c r="A100" s="26"/>
    </row>
    <row r="101" spans="1:1" x14ac:dyDescent="0.2">
      <c r="A101" s="25" t="s">
        <v>291</v>
      </c>
    </row>
    <row r="102" spans="1:1" x14ac:dyDescent="0.2">
      <c r="A102" s="26" t="s">
        <v>292</v>
      </c>
    </row>
    <row r="103" spans="1:1" x14ac:dyDescent="0.2">
      <c r="A103" s="26" t="s">
        <v>293</v>
      </c>
    </row>
    <row r="104" spans="1:1" x14ac:dyDescent="0.2">
      <c r="A104" s="26"/>
    </row>
    <row r="105" spans="1:1" x14ac:dyDescent="0.2">
      <c r="A105" s="26" t="s">
        <v>294</v>
      </c>
    </row>
    <row r="106" spans="1:1" x14ac:dyDescent="0.2">
      <c r="A106" s="26" t="s">
        <v>295</v>
      </c>
    </row>
    <row r="107" spans="1:1" x14ac:dyDescent="0.2">
      <c r="A107" s="26" t="s">
        <v>296</v>
      </c>
    </row>
    <row r="108" spans="1:1" x14ac:dyDescent="0.2">
      <c r="A108" s="26" t="s">
        <v>297</v>
      </c>
    </row>
    <row r="109" spans="1:1" x14ac:dyDescent="0.2">
      <c r="A109" s="26" t="s">
        <v>298</v>
      </c>
    </row>
    <row r="110" spans="1:1" x14ac:dyDescent="0.2">
      <c r="A110" s="26"/>
    </row>
    <row r="111" spans="1:1" x14ac:dyDescent="0.2">
      <c r="A111" s="25" t="s">
        <v>299</v>
      </c>
    </row>
    <row r="112" spans="1:1" x14ac:dyDescent="0.2">
      <c r="A112" s="26" t="s">
        <v>300</v>
      </c>
    </row>
    <row r="113" spans="1:1" x14ac:dyDescent="0.2">
      <c r="A113" s="26" t="s">
        <v>301</v>
      </c>
    </row>
    <row r="114" spans="1:1" x14ac:dyDescent="0.2">
      <c r="A114" s="26" t="s">
        <v>302</v>
      </c>
    </row>
    <row r="115" spans="1:1" x14ac:dyDescent="0.2">
      <c r="A115" s="26"/>
    </row>
    <row r="116" spans="1:1" x14ac:dyDescent="0.2">
      <c r="A116" s="25" t="s">
        <v>303</v>
      </c>
    </row>
    <row r="117" spans="1:1" x14ac:dyDescent="0.2">
      <c r="A117" s="26" t="s">
        <v>304</v>
      </c>
    </row>
    <row r="118" spans="1:1" x14ac:dyDescent="0.2">
      <c r="A118" s="26" t="s">
        <v>305</v>
      </c>
    </row>
    <row r="119" spans="1:1" x14ac:dyDescent="0.2">
      <c r="A119" s="26" t="s">
        <v>306</v>
      </c>
    </row>
    <row r="120" spans="1:1" x14ac:dyDescent="0.2">
      <c r="A120" s="26"/>
    </row>
    <row r="121" spans="1:1" x14ac:dyDescent="0.2">
      <c r="A121" s="25" t="s">
        <v>307</v>
      </c>
    </row>
    <row r="122" spans="1:1" x14ac:dyDescent="0.2">
      <c r="A122" s="26" t="s">
        <v>308</v>
      </c>
    </row>
    <row r="123" spans="1:1" x14ac:dyDescent="0.2">
      <c r="A123" s="26" t="s">
        <v>309</v>
      </c>
    </row>
    <row r="124" spans="1:1" x14ac:dyDescent="0.2">
      <c r="A124" s="26" t="s">
        <v>310</v>
      </c>
    </row>
    <row r="125" spans="1:1" x14ac:dyDescent="0.2">
      <c r="A125" s="26" t="s">
        <v>311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2024</vt:lpstr>
      <vt:lpstr>Data 2023</vt:lpstr>
      <vt:lpstr>YoY Change</vt:lpstr>
      <vt:lpstr>Analysis</vt:lpstr>
      <vt:lpstr>Multi-Year Residuals</vt:lpstr>
      <vt:lpstr>State Comparison</vt:lpstr>
      <vt:lpstr>Sources &amp; 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Evans, Justin</cp:lastModifiedBy>
  <cp:revision>0</cp:revision>
  <dcterms:created xsi:type="dcterms:W3CDTF">2026-04-15T00:11:24Z</dcterms:created>
  <dcterms:modified xsi:type="dcterms:W3CDTF">2026-04-18T23:01:31Z</dcterms:modified>
  <dc:language>en-US</dc:language>
</cp:coreProperties>
</file>